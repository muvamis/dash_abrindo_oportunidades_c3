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uvamozorg-my.sharepoint.com/personal/lucas_baibolo_muvamoz_org/Documents/Área de Trabalho/Relatorios abrindo oportunidades 2026/"/>
    </mc:Choice>
  </mc:AlternateContent>
  <xr:revisionPtr revIDLastSave="419" documentId="13_ncr:1_{E55A6633-AE48-4C7D-89C1-B4F0F4AEA704}" xr6:coauthVersionLast="47" xr6:coauthVersionMax="47" xr10:uidLastSave="{9028B21A-0AA6-4A73-8610-C57AA6207AEA}"/>
  <bookViews>
    <workbookView xWindow="-110" yWindow="-110" windowWidth="19420" windowHeight="10420" tabRatio="500" xr2:uid="{00000000-000D-0000-FFFF-FFFF00000000}"/>
  </bookViews>
  <sheets>
    <sheet name="Registo_Feira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" i="1" l="1"/>
  <c r="P303" i="1"/>
  <c r="N303" i="1"/>
  <c r="M303" i="1"/>
  <c r="P302" i="1"/>
  <c r="N302" i="1"/>
  <c r="M302" i="1"/>
  <c r="P301" i="1"/>
  <c r="N301" i="1"/>
  <c r="M301" i="1"/>
  <c r="P300" i="1"/>
  <c r="N300" i="1"/>
  <c r="M300" i="1"/>
  <c r="P299" i="1"/>
  <c r="N299" i="1"/>
  <c r="M299" i="1"/>
  <c r="P298" i="1"/>
  <c r="N298" i="1"/>
  <c r="M298" i="1"/>
  <c r="P297" i="1"/>
  <c r="N297" i="1"/>
  <c r="M297" i="1"/>
  <c r="P296" i="1"/>
  <c r="N296" i="1"/>
  <c r="M296" i="1"/>
  <c r="P295" i="1"/>
  <c r="N295" i="1"/>
  <c r="M295" i="1"/>
  <c r="P294" i="1"/>
  <c r="N294" i="1"/>
  <c r="M294" i="1"/>
  <c r="P293" i="1"/>
  <c r="N293" i="1"/>
  <c r="M293" i="1"/>
  <c r="P292" i="1"/>
  <c r="N292" i="1"/>
  <c r="M292" i="1"/>
  <c r="P291" i="1"/>
  <c r="N291" i="1"/>
  <c r="M291" i="1"/>
  <c r="P290" i="1"/>
  <c r="N290" i="1"/>
  <c r="M290" i="1"/>
  <c r="P289" i="1"/>
  <c r="N289" i="1"/>
  <c r="M289" i="1"/>
  <c r="P288" i="1"/>
  <c r="N288" i="1"/>
  <c r="M288" i="1"/>
  <c r="P287" i="1"/>
  <c r="N287" i="1"/>
  <c r="M287" i="1"/>
  <c r="P286" i="1"/>
  <c r="N286" i="1"/>
  <c r="M286" i="1"/>
  <c r="P285" i="1"/>
  <c r="N285" i="1"/>
  <c r="M285" i="1"/>
  <c r="P284" i="1"/>
  <c r="N284" i="1"/>
  <c r="M284" i="1"/>
  <c r="P283" i="1"/>
  <c r="N283" i="1"/>
  <c r="M283" i="1"/>
  <c r="P282" i="1"/>
  <c r="N282" i="1"/>
  <c r="M282" i="1"/>
  <c r="P281" i="1"/>
  <c r="N281" i="1"/>
  <c r="M281" i="1"/>
  <c r="P280" i="1"/>
  <c r="N280" i="1"/>
  <c r="M280" i="1"/>
  <c r="P279" i="1"/>
  <c r="N279" i="1"/>
  <c r="M279" i="1"/>
  <c r="P278" i="1"/>
  <c r="N278" i="1"/>
  <c r="M278" i="1"/>
  <c r="P277" i="1"/>
  <c r="N277" i="1"/>
  <c r="M277" i="1"/>
  <c r="P276" i="1"/>
  <c r="N276" i="1"/>
  <c r="M276" i="1"/>
  <c r="P275" i="1"/>
  <c r="N275" i="1"/>
  <c r="M275" i="1"/>
  <c r="P274" i="1"/>
  <c r="N274" i="1"/>
  <c r="M274" i="1"/>
  <c r="P273" i="1"/>
  <c r="N273" i="1"/>
  <c r="M273" i="1"/>
  <c r="P272" i="1"/>
  <c r="N272" i="1"/>
  <c r="M272" i="1"/>
  <c r="P271" i="1"/>
  <c r="N271" i="1"/>
  <c r="M271" i="1"/>
  <c r="P270" i="1"/>
  <c r="N270" i="1"/>
  <c r="M270" i="1"/>
  <c r="P269" i="1"/>
  <c r="N269" i="1"/>
  <c r="M269" i="1"/>
  <c r="P268" i="1"/>
  <c r="N268" i="1"/>
  <c r="M268" i="1"/>
  <c r="P267" i="1"/>
  <c r="N267" i="1"/>
  <c r="M267" i="1"/>
  <c r="P266" i="1"/>
  <c r="N266" i="1"/>
  <c r="M266" i="1"/>
  <c r="P265" i="1"/>
  <c r="N265" i="1"/>
  <c r="M265" i="1"/>
  <c r="P264" i="1"/>
  <c r="N264" i="1"/>
  <c r="M264" i="1"/>
  <c r="P263" i="1"/>
  <c r="N263" i="1"/>
  <c r="M263" i="1"/>
  <c r="P262" i="1"/>
  <c r="N262" i="1"/>
  <c r="M262" i="1"/>
  <c r="P261" i="1"/>
  <c r="N261" i="1"/>
  <c r="M261" i="1"/>
  <c r="P260" i="1"/>
  <c r="N260" i="1"/>
  <c r="M260" i="1"/>
  <c r="P259" i="1"/>
  <c r="N259" i="1"/>
  <c r="M259" i="1"/>
  <c r="P258" i="1"/>
  <c r="N258" i="1"/>
  <c r="M258" i="1"/>
  <c r="P257" i="1"/>
  <c r="N257" i="1"/>
  <c r="M257" i="1"/>
  <c r="P256" i="1"/>
  <c r="N256" i="1"/>
  <c r="M256" i="1"/>
  <c r="P255" i="1"/>
  <c r="N255" i="1"/>
  <c r="M255" i="1"/>
  <c r="P254" i="1"/>
  <c r="N254" i="1"/>
  <c r="M254" i="1"/>
  <c r="P253" i="1"/>
  <c r="N253" i="1"/>
  <c r="M253" i="1"/>
  <c r="P252" i="1"/>
  <c r="N252" i="1"/>
  <c r="M252" i="1"/>
  <c r="P251" i="1"/>
  <c r="N251" i="1"/>
  <c r="M251" i="1"/>
  <c r="P250" i="1"/>
  <c r="N250" i="1"/>
  <c r="M250" i="1"/>
  <c r="P249" i="1"/>
  <c r="N249" i="1"/>
  <c r="M249" i="1"/>
  <c r="P248" i="1"/>
  <c r="N248" i="1"/>
  <c r="M248" i="1"/>
  <c r="P247" i="1"/>
  <c r="N247" i="1"/>
  <c r="M247" i="1"/>
  <c r="P246" i="1"/>
  <c r="N246" i="1"/>
  <c r="M246" i="1"/>
  <c r="P245" i="1"/>
  <c r="N245" i="1"/>
  <c r="M245" i="1"/>
  <c r="P244" i="1"/>
  <c r="N244" i="1"/>
  <c r="M244" i="1"/>
  <c r="P243" i="1"/>
  <c r="N243" i="1"/>
  <c r="M243" i="1"/>
  <c r="P242" i="1"/>
  <c r="N242" i="1"/>
  <c r="M242" i="1"/>
  <c r="P241" i="1"/>
  <c r="N241" i="1"/>
  <c r="M241" i="1"/>
  <c r="P240" i="1"/>
  <c r="N240" i="1"/>
  <c r="M240" i="1"/>
  <c r="P239" i="1"/>
  <c r="N239" i="1"/>
  <c r="M239" i="1"/>
  <c r="P238" i="1"/>
  <c r="N238" i="1"/>
  <c r="M238" i="1"/>
  <c r="P237" i="1"/>
  <c r="N237" i="1"/>
  <c r="M237" i="1"/>
  <c r="P236" i="1"/>
  <c r="N236" i="1"/>
  <c r="M236" i="1"/>
  <c r="P235" i="1"/>
  <c r="N235" i="1"/>
  <c r="M235" i="1"/>
  <c r="P234" i="1"/>
  <c r="N234" i="1"/>
  <c r="M234" i="1"/>
  <c r="P233" i="1"/>
  <c r="N233" i="1"/>
  <c r="M233" i="1"/>
  <c r="P232" i="1"/>
  <c r="N232" i="1"/>
  <c r="M232" i="1"/>
  <c r="P231" i="1"/>
  <c r="N231" i="1"/>
  <c r="M231" i="1"/>
  <c r="P230" i="1"/>
  <c r="N230" i="1"/>
  <c r="M230" i="1"/>
  <c r="P229" i="1"/>
  <c r="N229" i="1"/>
  <c r="M229" i="1"/>
  <c r="P228" i="1"/>
  <c r="N228" i="1"/>
  <c r="M228" i="1"/>
  <c r="P227" i="1"/>
  <c r="N227" i="1"/>
  <c r="M227" i="1"/>
  <c r="P226" i="1"/>
  <c r="N226" i="1"/>
  <c r="M226" i="1"/>
  <c r="P225" i="1"/>
  <c r="N225" i="1"/>
  <c r="M225" i="1"/>
  <c r="P224" i="1"/>
  <c r="N224" i="1"/>
  <c r="M224" i="1"/>
  <c r="P223" i="1"/>
  <c r="N223" i="1"/>
  <c r="M223" i="1"/>
  <c r="P222" i="1"/>
  <c r="N222" i="1"/>
  <c r="M222" i="1"/>
  <c r="P221" i="1"/>
  <c r="N221" i="1"/>
  <c r="M221" i="1"/>
  <c r="P220" i="1"/>
  <c r="N220" i="1"/>
  <c r="M220" i="1"/>
  <c r="P219" i="1"/>
  <c r="N219" i="1"/>
  <c r="M219" i="1"/>
  <c r="P218" i="1"/>
  <c r="N218" i="1"/>
  <c r="M218" i="1"/>
  <c r="P217" i="1"/>
  <c r="N217" i="1"/>
  <c r="M217" i="1"/>
  <c r="P216" i="1"/>
  <c r="N216" i="1"/>
  <c r="M216" i="1"/>
  <c r="P215" i="1"/>
  <c r="N215" i="1"/>
  <c r="M215" i="1"/>
  <c r="P214" i="1"/>
  <c r="N214" i="1"/>
  <c r="M214" i="1"/>
  <c r="P213" i="1"/>
  <c r="N213" i="1"/>
  <c r="M213" i="1"/>
  <c r="P212" i="1"/>
  <c r="N212" i="1"/>
  <c r="M212" i="1"/>
  <c r="P211" i="1"/>
  <c r="N211" i="1"/>
  <c r="M211" i="1"/>
  <c r="P210" i="1"/>
  <c r="N210" i="1"/>
  <c r="M210" i="1"/>
  <c r="P209" i="1"/>
  <c r="N209" i="1"/>
  <c r="M209" i="1"/>
  <c r="P208" i="1"/>
  <c r="N208" i="1"/>
  <c r="M208" i="1"/>
  <c r="P207" i="1"/>
  <c r="N207" i="1"/>
  <c r="M207" i="1"/>
  <c r="P206" i="1"/>
  <c r="N206" i="1"/>
  <c r="M206" i="1"/>
  <c r="P205" i="1"/>
  <c r="N205" i="1"/>
  <c r="M205" i="1"/>
  <c r="P204" i="1"/>
  <c r="N204" i="1"/>
  <c r="M204" i="1"/>
  <c r="P203" i="1"/>
  <c r="N203" i="1"/>
  <c r="M203" i="1"/>
  <c r="P202" i="1"/>
  <c r="N202" i="1"/>
  <c r="M202" i="1"/>
  <c r="P201" i="1"/>
  <c r="N201" i="1"/>
  <c r="M201" i="1"/>
  <c r="P200" i="1"/>
  <c r="N200" i="1"/>
  <c r="M200" i="1"/>
  <c r="P199" i="1"/>
  <c r="N199" i="1"/>
  <c r="M199" i="1"/>
  <c r="P198" i="1"/>
  <c r="N198" i="1"/>
  <c r="M198" i="1"/>
  <c r="P197" i="1"/>
  <c r="N197" i="1"/>
  <c r="M197" i="1"/>
  <c r="P196" i="1"/>
  <c r="N196" i="1"/>
  <c r="M196" i="1"/>
  <c r="P195" i="1"/>
  <c r="N195" i="1"/>
  <c r="M195" i="1"/>
  <c r="P194" i="1"/>
  <c r="N194" i="1"/>
  <c r="M194" i="1"/>
  <c r="P193" i="1"/>
  <c r="N193" i="1"/>
  <c r="M193" i="1"/>
  <c r="P192" i="1"/>
  <c r="N192" i="1"/>
  <c r="M192" i="1"/>
  <c r="P191" i="1"/>
  <c r="N191" i="1"/>
  <c r="M191" i="1"/>
  <c r="P190" i="1"/>
  <c r="N190" i="1"/>
  <c r="M190" i="1"/>
  <c r="P189" i="1"/>
  <c r="N189" i="1"/>
  <c r="M189" i="1"/>
  <c r="P188" i="1"/>
  <c r="N188" i="1"/>
  <c r="M188" i="1"/>
  <c r="P187" i="1"/>
  <c r="N187" i="1"/>
  <c r="M187" i="1"/>
  <c r="P186" i="1"/>
  <c r="N186" i="1"/>
  <c r="M186" i="1"/>
  <c r="P185" i="1"/>
  <c r="N185" i="1"/>
  <c r="M185" i="1"/>
  <c r="P184" i="1"/>
  <c r="N184" i="1"/>
  <c r="M184" i="1"/>
  <c r="P183" i="1"/>
  <c r="N183" i="1"/>
  <c r="M183" i="1"/>
  <c r="P182" i="1"/>
  <c r="N182" i="1"/>
  <c r="M182" i="1"/>
  <c r="P181" i="1"/>
  <c r="N181" i="1"/>
  <c r="M181" i="1"/>
  <c r="P180" i="1"/>
  <c r="N180" i="1"/>
  <c r="M180" i="1"/>
  <c r="P179" i="1"/>
  <c r="N179" i="1"/>
  <c r="M179" i="1"/>
  <c r="P178" i="1"/>
  <c r="N178" i="1"/>
  <c r="M178" i="1"/>
  <c r="P177" i="1"/>
  <c r="N177" i="1"/>
  <c r="M177" i="1"/>
  <c r="P176" i="1"/>
  <c r="N176" i="1"/>
  <c r="M176" i="1"/>
  <c r="P175" i="1"/>
  <c r="N175" i="1"/>
  <c r="M175" i="1"/>
  <c r="P174" i="1"/>
  <c r="N174" i="1"/>
  <c r="M174" i="1"/>
  <c r="P173" i="1"/>
  <c r="N173" i="1"/>
  <c r="M173" i="1"/>
  <c r="P172" i="1"/>
  <c r="N172" i="1"/>
  <c r="M172" i="1"/>
  <c r="P171" i="1"/>
  <c r="N171" i="1"/>
  <c r="M171" i="1"/>
  <c r="P170" i="1"/>
  <c r="N170" i="1"/>
  <c r="M170" i="1"/>
  <c r="P169" i="1"/>
  <c r="N169" i="1"/>
  <c r="M169" i="1"/>
  <c r="P168" i="1"/>
  <c r="N168" i="1"/>
  <c r="M168" i="1"/>
  <c r="P167" i="1"/>
  <c r="N167" i="1"/>
  <c r="M167" i="1"/>
  <c r="P166" i="1"/>
  <c r="N166" i="1"/>
  <c r="M166" i="1"/>
  <c r="P165" i="1"/>
  <c r="N165" i="1"/>
  <c r="M165" i="1"/>
  <c r="P164" i="1"/>
  <c r="N164" i="1"/>
  <c r="M164" i="1"/>
  <c r="P163" i="1"/>
  <c r="N163" i="1"/>
  <c r="M163" i="1"/>
  <c r="P162" i="1"/>
  <c r="N162" i="1"/>
  <c r="M162" i="1"/>
  <c r="P161" i="1"/>
  <c r="N161" i="1"/>
  <c r="M161" i="1"/>
  <c r="P160" i="1"/>
  <c r="N160" i="1"/>
  <c r="M160" i="1"/>
  <c r="P159" i="1"/>
  <c r="N159" i="1"/>
  <c r="M159" i="1"/>
  <c r="P158" i="1"/>
  <c r="N158" i="1"/>
  <c r="M158" i="1"/>
  <c r="P157" i="1"/>
  <c r="N157" i="1"/>
  <c r="M157" i="1"/>
  <c r="P156" i="1"/>
  <c r="N156" i="1"/>
  <c r="M156" i="1"/>
  <c r="P155" i="1"/>
  <c r="N155" i="1"/>
  <c r="M155" i="1"/>
  <c r="P154" i="1"/>
  <c r="N154" i="1"/>
  <c r="M154" i="1"/>
  <c r="P153" i="1"/>
  <c r="N153" i="1"/>
  <c r="M153" i="1"/>
  <c r="P152" i="1"/>
  <c r="N152" i="1"/>
  <c r="M152" i="1"/>
  <c r="P151" i="1"/>
  <c r="N151" i="1"/>
  <c r="M151" i="1"/>
  <c r="P150" i="1"/>
  <c r="N150" i="1"/>
  <c r="M150" i="1"/>
  <c r="P149" i="1"/>
  <c r="N149" i="1"/>
  <c r="M149" i="1"/>
  <c r="P148" i="1"/>
  <c r="N148" i="1"/>
  <c r="M148" i="1"/>
  <c r="P147" i="1"/>
  <c r="N147" i="1"/>
  <c r="M147" i="1"/>
  <c r="P146" i="1"/>
  <c r="N146" i="1"/>
  <c r="M146" i="1"/>
  <c r="P145" i="1"/>
  <c r="N145" i="1"/>
  <c r="M145" i="1"/>
  <c r="P144" i="1"/>
  <c r="N144" i="1"/>
  <c r="M144" i="1"/>
  <c r="P143" i="1"/>
  <c r="N143" i="1"/>
  <c r="M143" i="1"/>
  <c r="P142" i="1"/>
  <c r="N142" i="1"/>
  <c r="M142" i="1"/>
  <c r="P141" i="1"/>
  <c r="N141" i="1"/>
  <c r="M141" i="1"/>
  <c r="P140" i="1"/>
  <c r="N140" i="1"/>
  <c r="M140" i="1"/>
  <c r="P139" i="1"/>
  <c r="N139" i="1"/>
  <c r="M139" i="1"/>
  <c r="P138" i="1"/>
  <c r="N138" i="1"/>
  <c r="M138" i="1"/>
  <c r="P137" i="1"/>
  <c r="N137" i="1"/>
  <c r="M137" i="1"/>
  <c r="P136" i="1"/>
  <c r="N136" i="1"/>
  <c r="M136" i="1"/>
  <c r="P135" i="1"/>
  <c r="N135" i="1"/>
  <c r="M135" i="1"/>
  <c r="P134" i="1"/>
  <c r="N134" i="1"/>
  <c r="M134" i="1"/>
  <c r="P133" i="1"/>
  <c r="N133" i="1"/>
  <c r="M133" i="1"/>
  <c r="P132" i="1"/>
  <c r="N132" i="1"/>
  <c r="M132" i="1"/>
  <c r="P131" i="1"/>
  <c r="N131" i="1"/>
  <c r="M131" i="1"/>
  <c r="P130" i="1"/>
  <c r="N130" i="1"/>
  <c r="M130" i="1"/>
  <c r="P129" i="1"/>
  <c r="N129" i="1"/>
  <c r="M129" i="1"/>
  <c r="P128" i="1"/>
  <c r="N128" i="1"/>
  <c r="M128" i="1"/>
  <c r="P127" i="1"/>
  <c r="N127" i="1"/>
  <c r="M127" i="1"/>
  <c r="P126" i="1"/>
  <c r="N126" i="1"/>
  <c r="M126" i="1"/>
  <c r="P125" i="1"/>
  <c r="N125" i="1"/>
  <c r="M125" i="1"/>
  <c r="P124" i="1"/>
  <c r="N124" i="1"/>
  <c r="M124" i="1"/>
  <c r="P123" i="1"/>
  <c r="N123" i="1"/>
  <c r="M123" i="1"/>
  <c r="P122" i="1"/>
  <c r="N122" i="1"/>
  <c r="M122" i="1"/>
  <c r="P121" i="1"/>
  <c r="N121" i="1"/>
  <c r="M121" i="1"/>
  <c r="P120" i="1"/>
  <c r="N120" i="1"/>
  <c r="M120" i="1"/>
  <c r="P119" i="1"/>
  <c r="N119" i="1"/>
  <c r="M119" i="1"/>
  <c r="P118" i="1"/>
  <c r="N118" i="1"/>
  <c r="M118" i="1"/>
  <c r="P117" i="1"/>
  <c r="N117" i="1"/>
  <c r="M117" i="1"/>
  <c r="P116" i="1"/>
  <c r="N116" i="1"/>
  <c r="M116" i="1"/>
  <c r="P115" i="1"/>
  <c r="N115" i="1"/>
  <c r="M115" i="1"/>
  <c r="P114" i="1"/>
  <c r="N114" i="1"/>
  <c r="M114" i="1"/>
  <c r="P113" i="1"/>
  <c r="N113" i="1"/>
  <c r="M113" i="1"/>
  <c r="P112" i="1"/>
  <c r="N112" i="1"/>
  <c r="M112" i="1"/>
  <c r="P111" i="1"/>
  <c r="N111" i="1"/>
  <c r="M111" i="1"/>
  <c r="P110" i="1"/>
  <c r="N110" i="1"/>
  <c r="M110" i="1"/>
  <c r="P109" i="1"/>
  <c r="N109" i="1"/>
  <c r="M109" i="1"/>
  <c r="P108" i="1"/>
  <c r="N108" i="1"/>
  <c r="M108" i="1"/>
  <c r="P107" i="1"/>
  <c r="N107" i="1"/>
  <c r="M107" i="1"/>
  <c r="P106" i="1"/>
  <c r="N106" i="1"/>
  <c r="M106" i="1"/>
  <c r="P105" i="1"/>
  <c r="N105" i="1"/>
  <c r="M105" i="1"/>
  <c r="P104" i="1"/>
  <c r="N104" i="1"/>
  <c r="M104" i="1"/>
  <c r="P103" i="1"/>
  <c r="N103" i="1"/>
  <c r="M103" i="1"/>
  <c r="P102" i="1"/>
  <c r="N102" i="1"/>
  <c r="M102" i="1"/>
  <c r="P101" i="1"/>
  <c r="N101" i="1"/>
  <c r="M101" i="1"/>
  <c r="P100" i="1"/>
  <c r="N100" i="1"/>
  <c r="M100" i="1"/>
  <c r="P99" i="1"/>
  <c r="N99" i="1"/>
  <c r="M99" i="1"/>
  <c r="P98" i="1"/>
  <c r="N98" i="1"/>
  <c r="M98" i="1"/>
  <c r="P97" i="1"/>
  <c r="N97" i="1"/>
  <c r="M97" i="1"/>
  <c r="P96" i="1"/>
  <c r="N96" i="1"/>
  <c r="M96" i="1"/>
  <c r="P95" i="1"/>
  <c r="N95" i="1"/>
  <c r="M95" i="1"/>
  <c r="P94" i="1"/>
  <c r="N94" i="1"/>
  <c r="M94" i="1"/>
  <c r="P93" i="1"/>
  <c r="N93" i="1"/>
  <c r="M93" i="1"/>
  <c r="P92" i="1"/>
  <c r="N92" i="1"/>
  <c r="M92" i="1"/>
  <c r="P91" i="1"/>
  <c r="N91" i="1"/>
  <c r="M91" i="1"/>
  <c r="P90" i="1"/>
  <c r="N90" i="1"/>
  <c r="M90" i="1"/>
  <c r="P89" i="1"/>
  <c r="N89" i="1"/>
  <c r="M89" i="1"/>
  <c r="P88" i="1"/>
  <c r="N88" i="1"/>
  <c r="M88" i="1"/>
  <c r="P87" i="1"/>
  <c r="N87" i="1"/>
  <c r="M87" i="1"/>
  <c r="P86" i="1"/>
  <c r="N86" i="1"/>
  <c r="M86" i="1"/>
  <c r="P85" i="1"/>
  <c r="N85" i="1"/>
  <c r="M85" i="1"/>
  <c r="P84" i="1"/>
  <c r="N84" i="1"/>
  <c r="M84" i="1"/>
  <c r="P83" i="1"/>
  <c r="N83" i="1"/>
  <c r="M83" i="1"/>
  <c r="P82" i="1"/>
  <c r="N82" i="1"/>
  <c r="M82" i="1"/>
  <c r="P81" i="1"/>
  <c r="N81" i="1"/>
  <c r="M81" i="1"/>
  <c r="P80" i="1"/>
  <c r="N80" i="1"/>
  <c r="M80" i="1"/>
  <c r="P79" i="1"/>
  <c r="N79" i="1"/>
  <c r="M79" i="1"/>
  <c r="P78" i="1"/>
  <c r="N78" i="1"/>
  <c r="M78" i="1"/>
  <c r="P77" i="1"/>
  <c r="N77" i="1"/>
  <c r="M77" i="1"/>
  <c r="P76" i="1"/>
  <c r="N76" i="1"/>
  <c r="M76" i="1"/>
  <c r="P75" i="1"/>
  <c r="N75" i="1"/>
  <c r="M75" i="1"/>
  <c r="P74" i="1"/>
  <c r="N74" i="1"/>
  <c r="M74" i="1"/>
  <c r="P73" i="1"/>
  <c r="N73" i="1"/>
  <c r="M73" i="1"/>
  <c r="P72" i="1"/>
  <c r="N72" i="1"/>
  <c r="M72" i="1"/>
  <c r="P71" i="1"/>
  <c r="N71" i="1"/>
  <c r="M71" i="1"/>
  <c r="P70" i="1"/>
  <c r="N70" i="1"/>
  <c r="M70" i="1"/>
  <c r="P69" i="1"/>
  <c r="N69" i="1"/>
  <c r="M69" i="1"/>
  <c r="P68" i="1"/>
  <c r="N68" i="1"/>
  <c r="M68" i="1"/>
  <c r="P67" i="1"/>
  <c r="N67" i="1"/>
  <c r="M67" i="1"/>
  <c r="P66" i="1"/>
  <c r="N66" i="1"/>
  <c r="M66" i="1"/>
  <c r="P65" i="1"/>
  <c r="N65" i="1"/>
  <c r="M65" i="1"/>
  <c r="P64" i="1"/>
  <c r="N64" i="1"/>
  <c r="M64" i="1"/>
  <c r="P63" i="1"/>
  <c r="N63" i="1"/>
  <c r="M63" i="1"/>
  <c r="P62" i="1"/>
  <c r="N62" i="1"/>
  <c r="M62" i="1"/>
  <c r="P61" i="1"/>
  <c r="N61" i="1"/>
  <c r="M61" i="1"/>
  <c r="P60" i="1"/>
  <c r="N60" i="1"/>
  <c r="M60" i="1"/>
  <c r="P59" i="1"/>
  <c r="N59" i="1"/>
  <c r="M59" i="1"/>
  <c r="P58" i="1"/>
  <c r="N58" i="1"/>
  <c r="M58" i="1"/>
  <c r="P57" i="1"/>
  <c r="N57" i="1"/>
  <c r="M57" i="1"/>
  <c r="P56" i="1"/>
  <c r="N56" i="1"/>
  <c r="M56" i="1"/>
  <c r="P55" i="1"/>
  <c r="N55" i="1"/>
  <c r="M55" i="1"/>
  <c r="P54" i="1"/>
  <c r="N54" i="1"/>
  <c r="M54" i="1"/>
  <c r="P53" i="1"/>
  <c r="N53" i="1"/>
  <c r="M53" i="1"/>
  <c r="P52" i="1"/>
  <c r="N52" i="1"/>
  <c r="M52" i="1"/>
  <c r="P51" i="1"/>
  <c r="N51" i="1"/>
  <c r="M51" i="1"/>
  <c r="P50" i="1"/>
  <c r="N50" i="1"/>
  <c r="M50" i="1"/>
  <c r="P49" i="1"/>
  <c r="N49" i="1"/>
  <c r="M49" i="1"/>
  <c r="P48" i="1"/>
  <c r="N48" i="1"/>
  <c r="M48" i="1"/>
  <c r="P47" i="1"/>
  <c r="N47" i="1"/>
  <c r="M47" i="1"/>
  <c r="P46" i="1"/>
  <c r="N46" i="1"/>
  <c r="M46" i="1"/>
  <c r="P45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N39" i="1"/>
  <c r="M39" i="1"/>
  <c r="P38" i="1"/>
  <c r="N38" i="1"/>
  <c r="M38" i="1"/>
  <c r="P37" i="1"/>
  <c r="N37" i="1"/>
  <c r="M37" i="1"/>
  <c r="P36" i="1"/>
  <c r="N36" i="1"/>
  <c r="M36" i="1"/>
  <c r="P35" i="1"/>
  <c r="N35" i="1"/>
  <c r="M35" i="1"/>
  <c r="P34" i="1"/>
  <c r="N34" i="1"/>
  <c r="M34" i="1"/>
  <c r="P33" i="1"/>
  <c r="N33" i="1"/>
  <c r="M33" i="1"/>
  <c r="P32" i="1"/>
  <c r="N32" i="1"/>
  <c r="M32" i="1"/>
  <c r="P31" i="1"/>
  <c r="N31" i="1"/>
  <c r="M31" i="1"/>
  <c r="P30" i="1"/>
  <c r="N30" i="1"/>
  <c r="M30" i="1"/>
  <c r="P29" i="1"/>
  <c r="N29" i="1"/>
  <c r="M29" i="1"/>
  <c r="P28" i="1"/>
  <c r="N28" i="1"/>
  <c r="M28" i="1"/>
  <c r="P27" i="1"/>
  <c r="N27" i="1"/>
  <c r="M27" i="1"/>
  <c r="N26" i="1"/>
  <c r="M25" i="1"/>
  <c r="N24" i="1"/>
  <c r="N23" i="1"/>
  <c r="N22" i="1"/>
  <c r="P21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6" i="1"/>
  <c r="N4" i="1"/>
</calcChain>
</file>

<file path=xl/sharedStrings.xml><?xml version="1.0" encoding="utf-8"?>
<sst xmlns="http://schemas.openxmlformats.org/spreadsheetml/2006/main" count="379" uniqueCount="160">
  <si>
    <t>Uma linha por produto por participante · Preencher no dia da feira · Fonte: indicadores A4-01 · OUT1-01 · OUT3-01</t>
  </si>
  <si>
    <t>Nº</t>
  </si>
  <si>
    <t>Data
da Feira</t>
  </si>
  <si>
    <t>Distrito</t>
  </si>
  <si>
    <t>Local
da Feira</t>
  </si>
  <si>
    <t>Responsável
(Facilitador/a)</t>
  </si>
  <si>
    <t>Nome do/a
Participante</t>
  </si>
  <si>
    <t>Sexo</t>
  </si>
  <si>
    <t>Comunidade /
Localidade</t>
  </si>
  <si>
    <t>Categoria
do Produto</t>
  </si>
  <si>
    <t>Produto
(descrição)</t>
  </si>
  <si>
    <t>Qtd. Inicial
(Kg / Un.)</t>
  </si>
  <si>
    <t>Qtd. Vendida
(Kg / Un.)</t>
  </si>
  <si>
    <t>Qtd. Não
Vendida
[auto]</t>
  </si>
  <si>
    <t>% Vendido
[auto]</t>
  </si>
  <si>
    <t>Preço / Un.
(MZN)</t>
  </si>
  <si>
    <t>Valor Total
Vendido (MZN)
[auto]</t>
  </si>
  <si>
    <t>Estabeleceu novos
contactos /
ligações de mercado?
(OUT3-01)</t>
  </si>
  <si>
    <t>Evidência de aplicação
de habilidades
no negócio?
(OUT1-01)</t>
  </si>
  <si>
    <t>Observações /
Descrição das novas
oportunidades</t>
  </si>
  <si>
    <t>🟢 Verde [auto] = calculado automaticamente    🟠 Laranja (col. R) = OUT3-01: Reinvestimento / novas ligações de mercado    🟡 Amarelo (col. S) = OUT1-01: Aplicação de habilidades no negócio    A4-01 é alimentado pela contagem total de participantes e pelo registo desta ficha</t>
  </si>
  <si>
    <t>GUIA DE PREENCHIMENTO — CATEGORIA DO PRODUTO</t>
  </si>
  <si>
    <t>Categoria</t>
  </si>
  <si>
    <t>Definição</t>
  </si>
  <si>
    <t>Exemplos práticos</t>
  </si>
  <si>
    <t>Como distinguir</t>
  </si>
  <si>
    <t>Alim. perecível
(revenda)</t>
  </si>
  <si>
    <t>Alimentos que estragam rapidamente (dias) sem refrigeração. O participante comprou para revender.</t>
  </si>
  <si>
    <t>Peixe fresco, carne, verduras, legumes, fruta fresca, leite, refeições confeccionadas</t>
  </si>
  <si>
    <t>O produto foi COMPRADO para revenda e deteriora em poucos dias</t>
  </si>
  <si>
    <t>Alim. não perecível
(revenda)</t>
  </si>
  <si>
    <t>Alimentos processados ou secos que se conservam semanas/meses. O participante comprou para revender.</t>
  </si>
  <si>
    <t>Farinha, açúcar, arroz, óleo, feijão, sal, amendoim embalado, especiarias, enlatados</t>
  </si>
  <si>
    <t>O produto foi COMPRADO para revenda e dura semanas ou meses</t>
  </si>
  <si>
    <t>Alim. confeccionado/
preparado</t>
  </si>
  <si>
    <t>Alimentos que foram transformados/cozinhados pelo/a participante. Pode ter comprado os ingredientes, mas o produto final é resultado da sua preparação.</t>
  </si>
  <si>
    <t>Refeições prontas (matapa, xima, frango grelhado), bolos e pão caseiro, amendoim torrado, fruta transformada (polpa, sumos), farinha de milho moída na própria machamba</t>
  </si>
  <si>
    <t>O produto foi TRANSFORMADO/PREPARADO pelo/a participante — distingue-se do perecível (que é revendido sem transformação) e da produção própria (que é vendida em bruto)</t>
  </si>
  <si>
    <t>Produção própria /
Machamba</t>
  </si>
  <si>
    <t>Produtos agrícolas em estado bruto, saídos directamente da machamba do/a participante. Produziu ele/a próprio/a.</t>
  </si>
  <si>
    <t>Milho em espiga, amendoim com casca, mandioca, batata-doce, tomate, cebola, feijão verde, amendoim fresco</t>
  </si>
  <si>
    <t>O produto foi PRODUZIDO pelo/a participante na sua machamba — não foi comprado</t>
  </si>
  <si>
    <t>Vestuário</t>
  </si>
  <si>
    <t>Roupas, tecidos, acessórios de vestuário</t>
  </si>
  <si>
    <t>Capulanas, roupa usada, fatos, sapatos, bolsas</t>
  </si>
  <si>
    <t>—</t>
  </si>
  <si>
    <t>Higiene e limpeza</t>
  </si>
  <si>
    <t>Produtos de higiene pessoal ou limpeza doméstica</t>
  </si>
  <si>
    <t>Sabão, detergente, champô, pasta de dentes, desinfectante</t>
  </si>
  <si>
    <t>Artesanato</t>
  </si>
  <si>
    <t>Produtos feitos à mão pelo/a participante</t>
  </si>
  <si>
    <t>Cestos, esteiras, cerâmica, bordados, objectos decorativos</t>
  </si>
  <si>
    <t>O produto foi FABRICADO manualmente pelo/a participante</t>
  </si>
  <si>
    <t>Outro</t>
  </si>
  <si>
    <t>Qualquer produto que não se enquadre nas categorias acima</t>
  </si>
  <si>
    <t>Especificar nas observações</t>
  </si>
  <si>
    <t>Usar a coluna Observações para descrever</t>
  </si>
  <si>
    <t>Monapo</t>
  </si>
  <si>
    <t>Monapo (Jardim Infantil/Tribuna)</t>
  </si>
  <si>
    <t>24.06.2026</t>
  </si>
  <si>
    <t>Masculino</t>
  </si>
  <si>
    <t>Sim</t>
  </si>
  <si>
    <t>Sim — negócio em funcionamento</t>
  </si>
  <si>
    <t xml:space="preserve">O negocio tem muita aderencia </t>
  </si>
  <si>
    <t>Sim — novo produto/serviço</t>
  </si>
  <si>
    <t>ainda em fase de evolucao</t>
  </si>
  <si>
    <t>Feminino</t>
  </si>
  <si>
    <t>Produção própria / Machamba</t>
  </si>
  <si>
    <t>24.06.2036</t>
  </si>
  <si>
    <r>
      <t>Vina Sebasti</t>
    </r>
    <r>
      <rPr>
        <sz val="9"/>
        <color rgb="FF000000"/>
        <rFont val="Aptos Narrow"/>
        <family val="2"/>
      </rPr>
      <t>ã</t>
    </r>
    <r>
      <rPr>
        <sz val="9"/>
        <color rgb="FF000000"/>
        <rFont val="Arial"/>
        <family val="2"/>
      </rPr>
      <t>o</t>
    </r>
  </si>
  <si>
    <t>Ana Majito</t>
  </si>
  <si>
    <t>Murromone</t>
  </si>
  <si>
    <t>Assina Castro</t>
  </si>
  <si>
    <t>Nacololo</t>
  </si>
  <si>
    <t>25 Kg</t>
  </si>
  <si>
    <t>24 Kg</t>
  </si>
  <si>
    <t>venda de Produtos</t>
  </si>
  <si>
    <t>12 Kg</t>
  </si>
  <si>
    <t>3.5 Kg</t>
  </si>
  <si>
    <t>9.5 Kg</t>
  </si>
  <si>
    <r>
      <t>Juma Jo</t>
    </r>
    <r>
      <rPr>
        <sz val="9"/>
        <color rgb="FF000000"/>
        <rFont val="Aptos Narrow"/>
        <family val="2"/>
      </rPr>
      <t>ã</t>
    </r>
    <r>
      <rPr>
        <sz val="9"/>
        <color rgb="FF000000"/>
        <rFont val="Arial"/>
        <family val="2"/>
      </rPr>
      <t>o</t>
    </r>
  </si>
  <si>
    <t xml:space="preserve">Venda de Banana </t>
  </si>
  <si>
    <t>35 Kg</t>
  </si>
  <si>
    <t>Idalina Mussa</t>
  </si>
  <si>
    <t>Batata doce</t>
  </si>
  <si>
    <t>1Kg</t>
  </si>
  <si>
    <t>Muelege</t>
  </si>
  <si>
    <t>Alim. confeccionado/preparado</t>
  </si>
  <si>
    <t>venda de Sanana</t>
  </si>
  <si>
    <t>Ainda em fase de evolucao</t>
  </si>
  <si>
    <t>Antonio Armando</t>
  </si>
  <si>
    <r>
      <t>Ali</t>
    </r>
    <r>
      <rPr>
        <sz val="9"/>
        <color theme="1" tint="4.9989318521683403E-2"/>
        <rFont val="Arial"/>
        <family val="2"/>
      </rPr>
      <t>m. não perecível (revend</t>
    </r>
    <r>
      <rPr>
        <sz val="9"/>
        <color rgb="FF000000"/>
        <rFont val="Arial"/>
        <family val="2"/>
      </rPr>
      <t>a)</t>
    </r>
  </si>
  <si>
    <t>Venda de Laranja</t>
  </si>
  <si>
    <t>5 Kg</t>
  </si>
  <si>
    <t>8 Kg</t>
  </si>
  <si>
    <t>10 Kg</t>
  </si>
  <si>
    <t>5kg</t>
  </si>
  <si>
    <t xml:space="preserve">O Negocio tem muita aderencia </t>
  </si>
  <si>
    <t>Amina Constantino</t>
  </si>
  <si>
    <t>Netia</t>
  </si>
  <si>
    <t>Arroz</t>
  </si>
  <si>
    <t>50/ Bacia</t>
  </si>
  <si>
    <t>Cremilda Arlindo</t>
  </si>
  <si>
    <t>Mutocone</t>
  </si>
  <si>
    <t>Milho</t>
  </si>
  <si>
    <t>Feijao Cute</t>
  </si>
  <si>
    <t>20 Kg</t>
  </si>
  <si>
    <t>18 Kg</t>
  </si>
  <si>
    <t>2Kg</t>
  </si>
  <si>
    <r>
      <t>Esperan</t>
    </r>
    <r>
      <rPr>
        <sz val="9"/>
        <color rgb="FF000000"/>
        <rFont val="Aptos Narrow"/>
        <family val="2"/>
      </rPr>
      <t>ç</t>
    </r>
    <r>
      <rPr>
        <sz val="9"/>
        <color rgb="FF000000"/>
        <rFont val="Arial"/>
        <family val="2"/>
      </rPr>
      <t>a Armando</t>
    </r>
  </si>
  <si>
    <t>Arlindo Alfredo</t>
  </si>
  <si>
    <t>Canacue</t>
  </si>
  <si>
    <t>300 Kg</t>
  </si>
  <si>
    <t>Gergelim</t>
  </si>
  <si>
    <t>Selemane Assuate</t>
  </si>
  <si>
    <t>Murruto</t>
  </si>
  <si>
    <t>50 Kg</t>
  </si>
  <si>
    <t>Sofia Frederico</t>
  </si>
  <si>
    <r>
      <t>Monapo</t>
    </r>
    <r>
      <rPr>
        <sz val="9"/>
        <color rgb="FF000000"/>
        <rFont val="Aptos"/>
        <family val="2"/>
        <charset val="1"/>
      </rPr>
      <t>-</t>
    </r>
    <r>
      <rPr>
        <sz val="9"/>
        <color rgb="FF000000"/>
        <rFont val="Arial"/>
        <family val="2"/>
      </rPr>
      <t>Sede</t>
    </r>
  </si>
  <si>
    <t>Yougurte de Malambe</t>
  </si>
  <si>
    <t>10L</t>
  </si>
  <si>
    <t>6 L</t>
  </si>
  <si>
    <t>4L</t>
  </si>
  <si>
    <t>Joao Ernestio Mussa</t>
  </si>
  <si>
    <t>Ofensiva</t>
  </si>
  <si>
    <t>100 Kg</t>
  </si>
  <si>
    <t>100Kg</t>
  </si>
  <si>
    <t>Joaquim Razaonel</t>
  </si>
  <si>
    <t>Nicane</t>
  </si>
  <si>
    <t>50 kg</t>
  </si>
  <si>
    <t>Juvencio Antonio</t>
  </si>
  <si>
    <t>50Kg</t>
  </si>
  <si>
    <t>Bento Paulo</t>
  </si>
  <si>
    <t>150 Kg</t>
  </si>
  <si>
    <t>150Kg</t>
  </si>
  <si>
    <t>Margarida Salimo</t>
  </si>
  <si>
    <t>Couve</t>
  </si>
  <si>
    <t>1 Bacia</t>
  </si>
  <si>
    <t>5/ Molho</t>
  </si>
  <si>
    <t>Fatima Constantino</t>
  </si>
  <si>
    <t>Vina Sebastião</t>
  </si>
  <si>
    <t>Dino Simao</t>
  </si>
  <si>
    <t>Itoculo</t>
  </si>
  <si>
    <t>Soja</t>
  </si>
  <si>
    <t>Agira Paulo</t>
  </si>
  <si>
    <t>Carlitos francisco</t>
  </si>
  <si>
    <t>Monapo-Sede</t>
  </si>
  <si>
    <t>60 Kg</t>
  </si>
  <si>
    <t>4 Kg</t>
  </si>
  <si>
    <t>56 kg</t>
  </si>
  <si>
    <t>Aristides Natalio</t>
  </si>
  <si>
    <t>Samuel Mario</t>
  </si>
  <si>
    <t>112 kg</t>
  </si>
  <si>
    <t>112Kg</t>
  </si>
  <si>
    <t>Nicolao Abdul</t>
  </si>
  <si>
    <t>Napala</t>
  </si>
  <si>
    <t>Cenoura</t>
  </si>
  <si>
    <t>Ede Abdul</t>
  </si>
  <si>
    <t>30 Kg</t>
  </si>
  <si>
    <t>PROJECTO ABRINDO OPORTUNIDDAES  — FICHA DE MONITORIA: FEIRA COMUNITÁRIA E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</si>
</sst>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sz val="8"/>
      <name val="Calibri"/>
      <family val="2"/>
      <charset val="1"/>
    </font>
    <font>
      <sz val="9"/>
      <color rgb="FF000000"/>
      <name val="Aptos Narrow"/>
      <family val="2"/>
    </font>
    <font>
      <sz val="9"/>
      <color theme="1" tint="4.9989318521683403E-2"/>
      <name val="Arial"/>
      <family val="2"/>
    </font>
    <font>
      <sz val="9"/>
      <color rgb="FF000000"/>
      <name val="Aptos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4B"/>
        <bgColor rgb="FF154360"/>
      </patternFill>
    </fill>
    <fill>
      <patternFill patternType="solid">
        <fgColor rgb="FF2E6DA4"/>
        <bgColor rgb="FF3366FF"/>
      </patternFill>
    </fill>
    <fill>
      <patternFill patternType="solid">
        <fgColor rgb="FF154360"/>
        <bgColor rgb="FF1B3A4B"/>
      </patternFill>
    </fill>
    <fill>
      <patternFill patternType="solid">
        <fgColor rgb="FFEBF5FB"/>
        <bgColor rgb="FFEAF2FF"/>
      </patternFill>
    </fill>
    <fill>
      <patternFill patternType="solid">
        <fgColor rgb="FFD5F5E3"/>
        <bgColor rgb="FFD6EAF8"/>
      </patternFill>
    </fill>
    <fill>
      <patternFill patternType="solid">
        <fgColor rgb="FFFDF2E9"/>
        <bgColor rgb="FFFEF9E7"/>
      </patternFill>
    </fill>
    <fill>
      <patternFill patternType="solid">
        <fgColor rgb="FFFEF9E7"/>
        <bgColor rgb="FFFDF2E9"/>
      </patternFill>
    </fill>
    <fill>
      <patternFill patternType="solid">
        <fgColor rgb="FFFAFAFA"/>
        <bgColor rgb="FFF8F9FA"/>
      </patternFill>
    </fill>
    <fill>
      <patternFill patternType="solid">
        <fgColor rgb="FFFDFEFE"/>
        <bgColor rgb="FFFFFFFF"/>
      </patternFill>
    </fill>
    <fill>
      <patternFill patternType="solid">
        <fgColor rgb="FFE9F7EF"/>
        <bgColor rgb="FFEBF5FB"/>
      </patternFill>
    </fill>
    <fill>
      <patternFill patternType="solid">
        <fgColor rgb="FFF5F5F5"/>
        <bgColor rgb="FFF8F9FA"/>
      </patternFill>
    </fill>
    <fill>
      <patternFill patternType="solid">
        <fgColor rgb="FFFFFF00"/>
        <bgColor rgb="FFEAF2FF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rgb="FFD6EAF8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8" fillId="12" borderId="2" xfId="0" applyFont="1" applyFill="1" applyBorder="1" applyAlignment="1">
      <alignment horizontal="left" vertical="top" wrapText="1"/>
    </xf>
    <xf numFmtId="0" fontId="0" fillId="0" borderId="3" xfId="0" applyBorder="1"/>
    <xf numFmtId="0" fontId="4" fillId="12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9" fontId="4" fillId="15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EF9E7"/>
      <rgbColor rgb="FFD6EAF8"/>
      <rgbColor rgb="FF660066"/>
      <rgbColor rgb="FFFF8080"/>
      <rgbColor rgb="FF2E6DA4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F2E9"/>
      <rgbColor rgb="FFEBF5FB"/>
      <rgbColor rgb="FFF8F9FA"/>
      <rgbColor rgb="FFFAFAFA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S317"/>
  <sheetViews>
    <sheetView showGridLines="0" tabSelected="1" zoomScale="60" zoomScaleNormal="60" workbookViewId="0">
      <pane ySplit="3" topLeftCell="A4" activePane="bottomLeft" state="frozen"/>
      <selection pane="bottomLeft" sqref="A1:S1"/>
    </sheetView>
  </sheetViews>
  <sheetFormatPr defaultColWidth="8.54296875" defaultRowHeight="14.5" x14ac:dyDescent="0.35"/>
  <cols>
    <col min="1" max="1" width="4" customWidth="1"/>
    <col min="2" max="2" width="32" customWidth="1"/>
    <col min="3" max="3" width="12" customWidth="1"/>
    <col min="4" max="4" width="23.81640625" customWidth="1"/>
    <col min="5" max="5" width="16" customWidth="1"/>
    <col min="6" max="6" width="20" customWidth="1"/>
    <col min="7" max="7" width="8" customWidth="1"/>
    <col min="8" max="8" width="16" customWidth="1"/>
    <col min="9" max="9" width="21.81640625" customWidth="1"/>
    <col min="10" max="10" width="18" customWidth="1"/>
    <col min="11" max="13" width="11" customWidth="1"/>
    <col min="14" max="14" width="9" customWidth="1"/>
    <col min="15" max="15" width="11" customWidth="1"/>
    <col min="16" max="16" width="14" customWidth="1"/>
    <col min="17" max="17" width="16" customWidth="1"/>
    <col min="18" max="18" width="25.90625" customWidth="1"/>
    <col min="19" max="19" width="28" customWidth="1"/>
  </cols>
  <sheetData>
    <row r="1" spans="1:19" ht="30" customHeight="1" x14ac:dyDescent="0.35">
      <c r="A1" s="38" t="s">
        <v>159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15" customHeight="1" x14ac:dyDescent="0.3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ht="43.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 ht="13.5" customHeight="1" x14ac:dyDescent="0.35">
      <c r="A4" s="3">
        <v>1</v>
      </c>
      <c r="B4" s="3" t="s">
        <v>59</v>
      </c>
      <c r="C4" s="3" t="s">
        <v>57</v>
      </c>
      <c r="D4" s="3" t="s">
        <v>58</v>
      </c>
      <c r="E4" s="3" t="s">
        <v>69</v>
      </c>
      <c r="F4" s="3" t="s">
        <v>70</v>
      </c>
      <c r="G4" s="3" t="s">
        <v>66</v>
      </c>
      <c r="H4" s="3" t="s">
        <v>71</v>
      </c>
      <c r="I4" s="3" t="s">
        <v>67</v>
      </c>
      <c r="J4" s="3" t="s">
        <v>76</v>
      </c>
      <c r="K4" s="3" t="s">
        <v>77</v>
      </c>
      <c r="L4" s="3" t="s">
        <v>78</v>
      </c>
      <c r="M4" s="4" t="s">
        <v>79</v>
      </c>
      <c r="N4" s="5" t="str">
        <f t="shared" ref="N4:N67" si="0">IFERROR(L4/K4,"")</f>
        <v/>
      </c>
      <c r="O4" s="3">
        <v>30</v>
      </c>
      <c r="P4" s="6">
        <v>130</v>
      </c>
      <c r="Q4" t="s">
        <v>61</v>
      </c>
      <c r="R4" s="7" t="s">
        <v>64</v>
      </c>
      <c r="S4" s="9" t="s">
        <v>65</v>
      </c>
    </row>
    <row r="5" spans="1:19" ht="13.5" customHeight="1" x14ac:dyDescent="0.35">
      <c r="A5" s="10">
        <v>2</v>
      </c>
      <c r="B5" s="3" t="s">
        <v>59</v>
      </c>
      <c r="C5" s="3" t="s">
        <v>57</v>
      </c>
      <c r="D5" s="3" t="s">
        <v>58</v>
      </c>
      <c r="E5" s="3" t="s">
        <v>69</v>
      </c>
      <c r="F5" s="25" t="s">
        <v>72</v>
      </c>
      <c r="G5" s="3" t="s">
        <v>66</v>
      </c>
      <c r="H5" s="3" t="s">
        <v>86</v>
      </c>
      <c r="I5" s="3" t="s">
        <v>87</v>
      </c>
      <c r="J5" s="3" t="s">
        <v>88</v>
      </c>
      <c r="K5" s="10">
        <v>20</v>
      </c>
      <c r="L5" s="10">
        <v>4</v>
      </c>
      <c r="M5" s="4">
        <v>16</v>
      </c>
      <c r="N5" s="5"/>
      <c r="O5" s="10">
        <v>10</v>
      </c>
      <c r="P5" s="6">
        <v>40</v>
      </c>
      <c r="Q5" s="7" t="s">
        <v>61</v>
      </c>
      <c r="R5" s="7" t="s">
        <v>62</v>
      </c>
      <c r="S5" s="9" t="s">
        <v>89</v>
      </c>
    </row>
    <row r="6" spans="1:19" ht="13.5" customHeight="1" x14ac:dyDescent="0.35">
      <c r="A6" s="3">
        <v>3</v>
      </c>
      <c r="B6" s="3" t="s">
        <v>59</v>
      </c>
      <c r="C6" s="3" t="s">
        <v>57</v>
      </c>
      <c r="D6" s="3" t="s">
        <v>58</v>
      </c>
      <c r="E6" s="3" t="s">
        <v>69</v>
      </c>
      <c r="F6" s="3" t="s">
        <v>80</v>
      </c>
      <c r="G6" s="3" t="s">
        <v>60</v>
      </c>
      <c r="H6" s="3" t="s">
        <v>73</v>
      </c>
      <c r="I6" s="3" t="s">
        <v>67</v>
      </c>
      <c r="J6" s="3" t="s">
        <v>81</v>
      </c>
      <c r="K6" s="3" t="s">
        <v>82</v>
      </c>
      <c r="L6" s="3" t="s">
        <v>82</v>
      </c>
      <c r="M6" s="4">
        <v>0</v>
      </c>
      <c r="N6" s="5" t="str">
        <f t="shared" si="0"/>
        <v/>
      </c>
      <c r="O6" s="3">
        <v>50</v>
      </c>
      <c r="P6" s="6">
        <v>1750</v>
      </c>
      <c r="Q6" s="7" t="s">
        <v>61</v>
      </c>
      <c r="R6" s="7" t="s">
        <v>62</v>
      </c>
      <c r="S6" s="9" t="s">
        <v>63</v>
      </c>
    </row>
    <row r="7" spans="1:19" ht="13.5" customHeight="1" x14ac:dyDescent="0.35">
      <c r="A7" s="10">
        <v>4</v>
      </c>
      <c r="B7" s="3" t="s">
        <v>59</v>
      </c>
      <c r="C7" s="3" t="s">
        <v>57</v>
      </c>
      <c r="D7" s="3" t="s">
        <v>58</v>
      </c>
      <c r="E7" s="3" t="s">
        <v>69</v>
      </c>
      <c r="F7" s="10" t="s">
        <v>83</v>
      </c>
      <c r="G7" s="10" t="s">
        <v>66</v>
      </c>
      <c r="H7" s="3" t="s">
        <v>73</v>
      </c>
      <c r="I7" s="10" t="s">
        <v>67</v>
      </c>
      <c r="J7" s="10" t="s">
        <v>84</v>
      </c>
      <c r="K7" s="10" t="s">
        <v>74</v>
      </c>
      <c r="L7" s="10" t="s">
        <v>75</v>
      </c>
      <c r="M7" s="4" t="s">
        <v>85</v>
      </c>
      <c r="N7" s="5" t="str">
        <f t="shared" si="0"/>
        <v/>
      </c>
      <c r="O7" s="10">
        <v>20</v>
      </c>
      <c r="P7" s="6">
        <v>480</v>
      </c>
      <c r="Q7" s="7" t="s">
        <v>61</v>
      </c>
      <c r="R7" s="8" t="s">
        <v>62</v>
      </c>
      <c r="S7" s="11" t="s">
        <v>63</v>
      </c>
    </row>
    <row r="8" spans="1:19" ht="13.5" customHeight="1" x14ac:dyDescent="0.35">
      <c r="A8" s="3">
        <v>5</v>
      </c>
      <c r="B8" s="3" t="s">
        <v>59</v>
      </c>
      <c r="C8" s="3" t="s">
        <v>57</v>
      </c>
      <c r="D8" s="3" t="s">
        <v>58</v>
      </c>
      <c r="E8" s="3" t="s">
        <v>69</v>
      </c>
      <c r="F8" s="3" t="s">
        <v>90</v>
      </c>
      <c r="G8" s="3" t="s">
        <v>60</v>
      </c>
      <c r="H8" s="3" t="s">
        <v>71</v>
      </c>
      <c r="I8" s="3" t="s">
        <v>91</v>
      </c>
      <c r="J8" s="3" t="s">
        <v>92</v>
      </c>
      <c r="K8" s="3" t="s">
        <v>93</v>
      </c>
      <c r="L8" s="3" t="s">
        <v>96</v>
      </c>
      <c r="M8" s="4">
        <v>0</v>
      </c>
      <c r="N8" s="5" t="str">
        <f t="shared" si="0"/>
        <v/>
      </c>
      <c r="O8" s="3">
        <v>20</v>
      </c>
      <c r="P8" s="6">
        <v>200</v>
      </c>
      <c r="Q8" s="7" t="s">
        <v>61</v>
      </c>
      <c r="R8" s="8" t="s">
        <v>62</v>
      </c>
      <c r="S8" s="11" t="s">
        <v>97</v>
      </c>
    </row>
    <row r="9" spans="1:19" ht="13.5" customHeight="1" x14ac:dyDescent="0.35">
      <c r="A9" s="10">
        <v>6</v>
      </c>
      <c r="B9" s="3" t="s">
        <v>59</v>
      </c>
      <c r="C9" s="3" t="s">
        <v>57</v>
      </c>
      <c r="D9" s="3" t="s">
        <v>58</v>
      </c>
      <c r="E9" s="3" t="s">
        <v>69</v>
      </c>
      <c r="F9" s="10" t="s">
        <v>98</v>
      </c>
      <c r="G9" s="10" t="s">
        <v>66</v>
      </c>
      <c r="H9" s="3" t="s">
        <v>99</v>
      </c>
      <c r="I9" s="10" t="s">
        <v>67</v>
      </c>
      <c r="J9" s="10" t="s">
        <v>100</v>
      </c>
      <c r="K9" s="10" t="s">
        <v>94</v>
      </c>
      <c r="L9" s="10" t="s">
        <v>94</v>
      </c>
      <c r="M9" s="4">
        <v>0</v>
      </c>
      <c r="N9" s="5" t="str">
        <f t="shared" si="0"/>
        <v/>
      </c>
      <c r="O9" s="10" t="s">
        <v>101</v>
      </c>
      <c r="P9" s="6">
        <v>475</v>
      </c>
      <c r="Q9" s="7" t="s">
        <v>61</v>
      </c>
      <c r="R9" s="8" t="s">
        <v>62</v>
      </c>
      <c r="S9" s="9" t="s">
        <v>63</v>
      </c>
    </row>
    <row r="10" spans="1:19" ht="13.5" customHeight="1" x14ac:dyDescent="0.35">
      <c r="A10" s="3">
        <v>7</v>
      </c>
      <c r="B10" s="3" t="s">
        <v>59</v>
      </c>
      <c r="C10" s="3" t="s">
        <v>57</v>
      </c>
      <c r="D10" s="3" t="s">
        <v>58</v>
      </c>
      <c r="E10" s="3" t="s">
        <v>69</v>
      </c>
      <c r="F10" s="3" t="s">
        <v>102</v>
      </c>
      <c r="G10" s="3" t="s">
        <v>66</v>
      </c>
      <c r="H10" s="3" t="s">
        <v>103</v>
      </c>
      <c r="I10" s="3" t="s">
        <v>67</v>
      </c>
      <c r="J10" s="3" t="s">
        <v>105</v>
      </c>
      <c r="K10" s="3" t="s">
        <v>106</v>
      </c>
      <c r="L10" s="3" t="s">
        <v>107</v>
      </c>
      <c r="M10" s="4" t="s">
        <v>108</v>
      </c>
      <c r="N10" s="5" t="str">
        <f t="shared" si="0"/>
        <v/>
      </c>
      <c r="O10" s="3">
        <v>40</v>
      </c>
      <c r="P10" s="6">
        <v>600</v>
      </c>
      <c r="Q10" s="7" t="s">
        <v>61</v>
      </c>
      <c r="R10" s="8" t="s">
        <v>62</v>
      </c>
      <c r="S10" s="9" t="s">
        <v>63</v>
      </c>
    </row>
    <row r="11" spans="1:19" ht="13.5" customHeight="1" x14ac:dyDescent="0.35">
      <c r="A11" s="10">
        <v>8</v>
      </c>
      <c r="B11" s="3" t="s">
        <v>59</v>
      </c>
      <c r="C11" s="3" t="s">
        <v>57</v>
      </c>
      <c r="D11" s="3" t="s">
        <v>58</v>
      </c>
      <c r="E11" s="10" t="s">
        <v>109</v>
      </c>
      <c r="F11" s="10" t="s">
        <v>110</v>
      </c>
      <c r="G11" s="10" t="s">
        <v>60</v>
      </c>
      <c r="H11" s="10" t="s">
        <v>111</v>
      </c>
      <c r="I11" s="10" t="s">
        <v>67</v>
      </c>
      <c r="J11" s="10" t="s">
        <v>113</v>
      </c>
      <c r="K11" s="10" t="s">
        <v>112</v>
      </c>
      <c r="L11" s="10" t="s">
        <v>112</v>
      </c>
      <c r="M11" s="4">
        <v>0</v>
      </c>
      <c r="N11" s="5" t="str">
        <f t="shared" si="0"/>
        <v/>
      </c>
      <c r="O11" s="10">
        <v>75</v>
      </c>
      <c r="P11" s="6">
        <v>21000</v>
      </c>
      <c r="Q11" s="7" t="s">
        <v>61</v>
      </c>
      <c r="R11" s="8" t="s">
        <v>62</v>
      </c>
      <c r="S11" s="11" t="s">
        <v>63</v>
      </c>
    </row>
    <row r="12" spans="1:19" ht="13.5" customHeight="1" x14ac:dyDescent="0.35">
      <c r="A12" s="3">
        <v>9</v>
      </c>
      <c r="B12" s="3" t="s">
        <v>59</v>
      </c>
      <c r="C12" s="3" t="s">
        <v>57</v>
      </c>
      <c r="D12" s="3" t="s">
        <v>58</v>
      </c>
      <c r="E12" s="10" t="s">
        <v>109</v>
      </c>
      <c r="F12" s="3" t="s">
        <v>114</v>
      </c>
      <c r="G12" s="3" t="s">
        <v>60</v>
      </c>
      <c r="H12" s="3" t="s">
        <v>115</v>
      </c>
      <c r="I12" s="3" t="s">
        <v>67</v>
      </c>
      <c r="J12" s="3" t="s">
        <v>104</v>
      </c>
      <c r="K12" s="3" t="s">
        <v>116</v>
      </c>
      <c r="L12" s="3" t="s">
        <v>116</v>
      </c>
      <c r="M12" s="4">
        <v>0</v>
      </c>
      <c r="N12" s="5" t="str">
        <f t="shared" si="0"/>
        <v/>
      </c>
      <c r="O12" s="3">
        <v>15</v>
      </c>
      <c r="P12" s="6">
        <v>1350</v>
      </c>
      <c r="Q12" s="7" t="s">
        <v>61</v>
      </c>
      <c r="R12" s="8" t="s">
        <v>62</v>
      </c>
      <c r="S12" s="9" t="s">
        <v>63</v>
      </c>
    </row>
    <row r="13" spans="1:19" ht="13.5" customHeight="1" x14ac:dyDescent="0.35">
      <c r="A13" s="10">
        <v>10</v>
      </c>
      <c r="B13" s="3" t="s">
        <v>59</v>
      </c>
      <c r="C13" s="3" t="s">
        <v>57</v>
      </c>
      <c r="D13" s="3" t="s">
        <v>58</v>
      </c>
      <c r="E13" s="10" t="s">
        <v>109</v>
      </c>
      <c r="F13" s="10" t="s">
        <v>117</v>
      </c>
      <c r="G13" s="10" t="s">
        <v>66</v>
      </c>
      <c r="H13" s="10" t="s">
        <v>118</v>
      </c>
      <c r="I13" s="10" t="s">
        <v>87</v>
      </c>
      <c r="J13" s="10" t="s">
        <v>119</v>
      </c>
      <c r="K13" s="10" t="s">
        <v>120</v>
      </c>
      <c r="L13" s="10" t="s">
        <v>121</v>
      </c>
      <c r="M13" s="4" t="s">
        <v>122</v>
      </c>
      <c r="N13" s="5" t="str">
        <f t="shared" si="0"/>
        <v/>
      </c>
      <c r="O13" s="10">
        <v>50</v>
      </c>
      <c r="P13" s="6">
        <v>450</v>
      </c>
      <c r="Q13" s="7" t="s">
        <v>61</v>
      </c>
      <c r="R13" s="8" t="s">
        <v>62</v>
      </c>
      <c r="S13" s="11" t="s">
        <v>63</v>
      </c>
    </row>
    <row r="14" spans="1:19" ht="13.5" customHeight="1" x14ac:dyDescent="0.35">
      <c r="A14" s="3">
        <v>11</v>
      </c>
      <c r="B14" s="3" t="s">
        <v>68</v>
      </c>
      <c r="C14" s="3" t="s">
        <v>57</v>
      </c>
      <c r="D14" s="3" t="s">
        <v>58</v>
      </c>
      <c r="E14" s="10" t="s">
        <v>109</v>
      </c>
      <c r="F14" s="3" t="s">
        <v>123</v>
      </c>
      <c r="G14" s="3" t="s">
        <v>60</v>
      </c>
      <c r="H14" s="3" t="s">
        <v>124</v>
      </c>
      <c r="I14" s="3" t="s">
        <v>67</v>
      </c>
      <c r="J14" s="3" t="s">
        <v>104</v>
      </c>
      <c r="K14" s="3" t="s">
        <v>125</v>
      </c>
      <c r="L14" s="3" t="s">
        <v>126</v>
      </c>
      <c r="M14" s="4">
        <v>0</v>
      </c>
      <c r="N14" s="5" t="str">
        <f t="shared" si="0"/>
        <v/>
      </c>
      <c r="O14" s="3">
        <v>15</v>
      </c>
      <c r="P14" s="6">
        <v>1500</v>
      </c>
      <c r="Q14" s="7" t="s">
        <v>61</v>
      </c>
      <c r="R14" s="8" t="s">
        <v>62</v>
      </c>
      <c r="S14" s="9" t="s">
        <v>63</v>
      </c>
    </row>
    <row r="15" spans="1:19" ht="13.5" customHeight="1" x14ac:dyDescent="0.35">
      <c r="A15" s="10">
        <v>12</v>
      </c>
      <c r="B15" s="3" t="s">
        <v>59</v>
      </c>
      <c r="C15" s="3" t="s">
        <v>57</v>
      </c>
      <c r="D15" s="3" t="s">
        <v>58</v>
      </c>
      <c r="E15" s="10" t="s">
        <v>109</v>
      </c>
      <c r="F15" s="10" t="s">
        <v>127</v>
      </c>
      <c r="G15" s="10" t="s">
        <v>60</v>
      </c>
      <c r="H15" s="10" t="s">
        <v>128</v>
      </c>
      <c r="I15" s="10" t="s">
        <v>67</v>
      </c>
      <c r="J15" s="10" t="s">
        <v>105</v>
      </c>
      <c r="K15" s="10" t="s">
        <v>129</v>
      </c>
      <c r="L15" s="10" t="s">
        <v>116</v>
      </c>
      <c r="M15" s="4">
        <v>0</v>
      </c>
      <c r="N15" s="5" t="str">
        <f t="shared" si="0"/>
        <v/>
      </c>
      <c r="O15" s="10">
        <v>30</v>
      </c>
      <c r="P15" s="6">
        <v>1500</v>
      </c>
      <c r="Q15" s="7" t="s">
        <v>61</v>
      </c>
      <c r="R15" s="8" t="s">
        <v>62</v>
      </c>
      <c r="S15" s="11" t="s">
        <v>63</v>
      </c>
    </row>
    <row r="16" spans="1:19" ht="13.5" customHeight="1" x14ac:dyDescent="0.35">
      <c r="A16" s="3">
        <v>13</v>
      </c>
      <c r="B16" s="3" t="s">
        <v>59</v>
      </c>
      <c r="C16" s="3" t="s">
        <v>57</v>
      </c>
      <c r="D16" s="3" t="s">
        <v>58</v>
      </c>
      <c r="E16" s="10" t="s">
        <v>109</v>
      </c>
      <c r="F16" s="3" t="s">
        <v>130</v>
      </c>
      <c r="G16" s="3" t="s">
        <v>60</v>
      </c>
      <c r="H16" s="3" t="s">
        <v>115</v>
      </c>
      <c r="I16" s="3" t="s">
        <v>67</v>
      </c>
      <c r="J16" s="3" t="s">
        <v>104</v>
      </c>
      <c r="K16" s="3" t="s">
        <v>116</v>
      </c>
      <c r="L16" s="3" t="s">
        <v>131</v>
      </c>
      <c r="M16" s="4">
        <v>0</v>
      </c>
      <c r="N16" s="5" t="str">
        <f t="shared" si="0"/>
        <v/>
      </c>
      <c r="O16" s="3">
        <v>15</v>
      </c>
      <c r="P16" s="6">
        <v>1350</v>
      </c>
      <c r="Q16" s="7" t="s">
        <v>61</v>
      </c>
      <c r="R16" s="8" t="s">
        <v>62</v>
      </c>
      <c r="S16" s="9" t="s">
        <v>63</v>
      </c>
    </row>
    <row r="17" spans="1:19" ht="13.5" customHeight="1" x14ac:dyDescent="0.35">
      <c r="A17" s="10">
        <v>14</v>
      </c>
      <c r="B17" s="10" t="s">
        <v>59</v>
      </c>
      <c r="C17" s="3" t="s">
        <v>57</v>
      </c>
      <c r="D17" s="3" t="s">
        <v>58</v>
      </c>
      <c r="E17" s="10" t="s">
        <v>109</v>
      </c>
      <c r="F17" s="10" t="s">
        <v>132</v>
      </c>
      <c r="G17" s="10" t="s">
        <v>60</v>
      </c>
      <c r="H17" s="10" t="s">
        <v>124</v>
      </c>
      <c r="I17" s="10" t="s">
        <v>67</v>
      </c>
      <c r="J17" s="10" t="s">
        <v>104</v>
      </c>
      <c r="K17" s="10" t="s">
        <v>133</v>
      </c>
      <c r="L17" s="10" t="s">
        <v>134</v>
      </c>
      <c r="M17" s="4">
        <v>0</v>
      </c>
      <c r="N17" s="5" t="str">
        <f t="shared" si="0"/>
        <v/>
      </c>
      <c r="O17" s="10">
        <v>15</v>
      </c>
      <c r="P17" s="6">
        <v>2250</v>
      </c>
      <c r="Q17" s="7" t="s">
        <v>61</v>
      </c>
      <c r="R17" s="8" t="s">
        <v>62</v>
      </c>
      <c r="S17" s="11" t="s">
        <v>63</v>
      </c>
    </row>
    <row r="18" spans="1:19" ht="13.5" customHeight="1" x14ac:dyDescent="0.35">
      <c r="A18" s="3">
        <v>15</v>
      </c>
      <c r="B18" s="3" t="s">
        <v>59</v>
      </c>
      <c r="C18" s="3" t="s">
        <v>57</v>
      </c>
      <c r="D18" s="3" t="s">
        <v>58</v>
      </c>
      <c r="E18" s="10" t="s">
        <v>109</v>
      </c>
      <c r="F18" s="3" t="s">
        <v>135</v>
      </c>
      <c r="G18" s="3" t="s">
        <v>66</v>
      </c>
      <c r="H18" s="26"/>
      <c r="I18" s="3" t="s">
        <v>67</v>
      </c>
      <c r="J18" s="3" t="s">
        <v>136</v>
      </c>
      <c r="K18" s="3" t="s">
        <v>137</v>
      </c>
      <c r="L18" s="3">
        <v>0</v>
      </c>
      <c r="M18" s="4" t="s">
        <v>137</v>
      </c>
      <c r="N18" s="5" t="str">
        <f t="shared" si="0"/>
        <v/>
      </c>
      <c r="O18" s="3" t="s">
        <v>138</v>
      </c>
      <c r="P18" s="6">
        <v>0</v>
      </c>
      <c r="Q18" s="7" t="s">
        <v>61</v>
      </c>
      <c r="R18" s="8" t="s">
        <v>64</v>
      </c>
      <c r="S18" s="9" t="s">
        <v>65</v>
      </c>
    </row>
    <row r="19" spans="1:19" ht="13.5" customHeight="1" x14ac:dyDescent="0.35">
      <c r="A19" s="10">
        <v>16</v>
      </c>
      <c r="B19" s="10" t="s">
        <v>59</v>
      </c>
      <c r="C19" s="3" t="s">
        <v>57</v>
      </c>
      <c r="D19" s="3" t="s">
        <v>58</v>
      </c>
      <c r="E19" s="10" t="s">
        <v>140</v>
      </c>
      <c r="F19" s="10" t="s">
        <v>139</v>
      </c>
      <c r="G19" s="10" t="s">
        <v>66</v>
      </c>
      <c r="H19" s="10" t="s">
        <v>99</v>
      </c>
      <c r="I19" s="27" t="s">
        <v>67</v>
      </c>
      <c r="J19" s="27" t="s">
        <v>100</v>
      </c>
      <c r="K19" s="27" t="s">
        <v>95</v>
      </c>
      <c r="L19" s="27" t="s">
        <v>95</v>
      </c>
      <c r="M19" s="28">
        <v>0</v>
      </c>
      <c r="N19" s="29" t="str">
        <f t="shared" si="0"/>
        <v/>
      </c>
      <c r="O19" s="10">
        <v>50</v>
      </c>
      <c r="P19" s="6">
        <v>500</v>
      </c>
      <c r="Q19" s="7" t="s">
        <v>61</v>
      </c>
      <c r="R19" s="8" t="s">
        <v>62</v>
      </c>
      <c r="S19" s="11" t="s">
        <v>63</v>
      </c>
    </row>
    <row r="20" spans="1:19" ht="13.5" customHeight="1" x14ac:dyDescent="0.35">
      <c r="A20" s="3">
        <v>17</v>
      </c>
      <c r="B20" s="3" t="s">
        <v>59</v>
      </c>
      <c r="C20" s="3" t="s">
        <v>57</v>
      </c>
      <c r="D20" s="3" t="s">
        <v>58</v>
      </c>
      <c r="E20" s="10" t="s">
        <v>109</v>
      </c>
      <c r="F20" s="3" t="s">
        <v>141</v>
      </c>
      <c r="G20" s="3" t="s">
        <v>60</v>
      </c>
      <c r="H20" s="3" t="s">
        <v>142</v>
      </c>
      <c r="I20" s="3" t="s">
        <v>67</v>
      </c>
      <c r="J20" s="3" t="s">
        <v>143</v>
      </c>
      <c r="K20" s="3" t="s">
        <v>95</v>
      </c>
      <c r="L20" s="3">
        <v>0</v>
      </c>
      <c r="M20" s="4" t="s">
        <v>95</v>
      </c>
      <c r="N20" s="5" t="str">
        <f t="shared" si="0"/>
        <v/>
      </c>
      <c r="O20" s="3">
        <v>35</v>
      </c>
      <c r="P20" s="6">
        <v>0</v>
      </c>
      <c r="Q20" s="7" t="s">
        <v>61</v>
      </c>
      <c r="R20" s="8" t="s">
        <v>64</v>
      </c>
      <c r="S20" s="9" t="s">
        <v>65</v>
      </c>
    </row>
    <row r="21" spans="1:19" ht="13.5" customHeight="1" x14ac:dyDescent="0.35">
      <c r="A21" s="10">
        <v>18</v>
      </c>
      <c r="B21" s="10" t="s">
        <v>59</v>
      </c>
      <c r="C21" s="3" t="s">
        <v>57</v>
      </c>
      <c r="D21" s="3" t="s">
        <v>58</v>
      </c>
      <c r="E21" s="10" t="s">
        <v>109</v>
      </c>
      <c r="F21" s="10" t="s">
        <v>144</v>
      </c>
      <c r="G21" s="10" t="s">
        <v>66</v>
      </c>
      <c r="H21" s="10" t="s">
        <v>142</v>
      </c>
      <c r="I21" s="10" t="s">
        <v>67</v>
      </c>
      <c r="J21" s="10" t="s">
        <v>104</v>
      </c>
      <c r="K21" s="10" t="s">
        <v>95</v>
      </c>
      <c r="L21" s="10">
        <v>0</v>
      </c>
      <c r="M21" s="4">
        <v>0</v>
      </c>
      <c r="N21" s="5" t="str">
        <f t="shared" si="0"/>
        <v/>
      </c>
      <c r="O21" s="10">
        <v>20</v>
      </c>
      <c r="P21" s="6">
        <f t="shared" ref="P21:P67" si="1">IFERROR(L21*O21,"")</f>
        <v>0</v>
      </c>
      <c r="Q21" s="7" t="s">
        <v>61</v>
      </c>
      <c r="R21" s="8" t="s">
        <v>62</v>
      </c>
      <c r="S21" s="11" t="s">
        <v>65</v>
      </c>
    </row>
    <row r="22" spans="1:19" ht="13.5" customHeight="1" x14ac:dyDescent="0.35">
      <c r="A22" s="3">
        <v>19</v>
      </c>
      <c r="B22" s="3" t="s">
        <v>59</v>
      </c>
      <c r="C22" s="3" t="s">
        <v>57</v>
      </c>
      <c r="D22" s="3" t="s">
        <v>58</v>
      </c>
      <c r="E22" s="10" t="s">
        <v>109</v>
      </c>
      <c r="F22" s="3" t="s">
        <v>145</v>
      </c>
      <c r="G22" s="3" t="s">
        <v>60</v>
      </c>
      <c r="H22" s="3" t="s">
        <v>146</v>
      </c>
      <c r="I22" s="3" t="s">
        <v>67</v>
      </c>
      <c r="J22" s="3" t="s">
        <v>84</v>
      </c>
      <c r="K22" s="3" t="s">
        <v>147</v>
      </c>
      <c r="L22" s="3" t="s">
        <v>148</v>
      </c>
      <c r="M22" s="4" t="s">
        <v>149</v>
      </c>
      <c r="N22" s="5" t="str">
        <f t="shared" si="0"/>
        <v/>
      </c>
      <c r="O22" s="3">
        <v>20</v>
      </c>
      <c r="P22" s="6">
        <v>80</v>
      </c>
      <c r="Q22" s="7" t="s">
        <v>61</v>
      </c>
      <c r="R22" s="8" t="s">
        <v>62</v>
      </c>
      <c r="S22" s="9" t="s">
        <v>63</v>
      </c>
    </row>
    <row r="23" spans="1:19" ht="13.5" customHeight="1" x14ac:dyDescent="0.35">
      <c r="A23" s="10">
        <v>20</v>
      </c>
      <c r="B23" s="10" t="s">
        <v>59</v>
      </c>
      <c r="C23" s="3" t="s">
        <v>57</v>
      </c>
      <c r="D23" s="3" t="s">
        <v>58</v>
      </c>
      <c r="E23" s="10" t="s">
        <v>109</v>
      </c>
      <c r="F23" s="10" t="s">
        <v>150</v>
      </c>
      <c r="G23" s="27"/>
      <c r="H23" s="10" t="s">
        <v>111</v>
      </c>
      <c r="I23" s="10" t="s">
        <v>67</v>
      </c>
      <c r="J23" s="10" t="s">
        <v>113</v>
      </c>
      <c r="K23" s="10" t="s">
        <v>133</v>
      </c>
      <c r="L23" s="10" t="s">
        <v>133</v>
      </c>
      <c r="M23" s="4">
        <v>0</v>
      </c>
      <c r="N23" s="5" t="str">
        <f t="shared" si="0"/>
        <v/>
      </c>
      <c r="O23" s="10">
        <v>70</v>
      </c>
      <c r="P23" s="6">
        <v>10500</v>
      </c>
      <c r="Q23" s="7" t="s">
        <v>61</v>
      </c>
      <c r="R23" s="8" t="s">
        <v>62</v>
      </c>
      <c r="S23" s="11" t="s">
        <v>63</v>
      </c>
    </row>
    <row r="24" spans="1:19" ht="13.5" customHeight="1" x14ac:dyDescent="0.35">
      <c r="A24" s="3">
        <v>21</v>
      </c>
      <c r="B24" s="3" t="s">
        <v>59</v>
      </c>
      <c r="C24" s="3" t="s">
        <v>57</v>
      </c>
      <c r="D24" s="3" t="s">
        <v>58</v>
      </c>
      <c r="E24" s="10" t="s">
        <v>109</v>
      </c>
      <c r="F24" s="3" t="s">
        <v>151</v>
      </c>
      <c r="G24" s="3" t="s">
        <v>60</v>
      </c>
      <c r="H24" s="3" t="s">
        <v>111</v>
      </c>
      <c r="I24" s="3" t="s">
        <v>67</v>
      </c>
      <c r="J24" s="3" t="s">
        <v>104</v>
      </c>
      <c r="K24" s="3" t="s">
        <v>152</v>
      </c>
      <c r="L24" s="3" t="s">
        <v>153</v>
      </c>
      <c r="M24" s="4">
        <v>0</v>
      </c>
      <c r="N24" s="5" t="str">
        <f t="shared" si="0"/>
        <v/>
      </c>
      <c r="O24" s="3">
        <v>15</v>
      </c>
      <c r="P24" s="6">
        <v>1680</v>
      </c>
      <c r="Q24" s="7" t="s">
        <v>61</v>
      </c>
      <c r="R24" s="8" t="s">
        <v>62</v>
      </c>
      <c r="S24" s="9" t="s">
        <v>63</v>
      </c>
    </row>
    <row r="25" spans="1:19" ht="13.5" customHeight="1" x14ac:dyDescent="0.35">
      <c r="A25" s="10">
        <v>22</v>
      </c>
      <c r="B25" s="10" t="s">
        <v>59</v>
      </c>
      <c r="C25" s="3" t="s">
        <v>57</v>
      </c>
      <c r="D25" s="3" t="s">
        <v>58</v>
      </c>
      <c r="E25" s="10"/>
      <c r="F25" s="10" t="s">
        <v>154</v>
      </c>
      <c r="G25" s="10" t="s">
        <v>60</v>
      </c>
      <c r="H25" s="10" t="s">
        <v>155</v>
      </c>
      <c r="I25" s="10" t="s">
        <v>67</v>
      </c>
      <c r="J25" s="10" t="s">
        <v>156</v>
      </c>
      <c r="K25" s="10">
        <v>50</v>
      </c>
      <c r="L25" s="10">
        <v>48</v>
      </c>
      <c r="M25" s="4">
        <f t="shared" ref="M25:M67" si="2">IFERROR(K25-L25,"")</f>
        <v>2</v>
      </c>
      <c r="N25" s="5"/>
      <c r="O25" s="10">
        <v>150</v>
      </c>
      <c r="P25" s="6">
        <v>7200</v>
      </c>
      <c r="Q25" s="7" t="s">
        <v>61</v>
      </c>
      <c r="R25" s="8" t="s">
        <v>62</v>
      </c>
      <c r="S25" s="11" t="s">
        <v>63</v>
      </c>
    </row>
    <row r="26" spans="1:19" ht="13.5" customHeight="1" x14ac:dyDescent="0.35">
      <c r="A26" s="3">
        <v>23</v>
      </c>
      <c r="B26" s="10" t="s">
        <v>59</v>
      </c>
      <c r="C26" s="3" t="s">
        <v>57</v>
      </c>
      <c r="D26" s="3" t="s">
        <v>58</v>
      </c>
      <c r="E26" s="3"/>
      <c r="F26" s="3" t="s">
        <v>157</v>
      </c>
      <c r="G26" s="3" t="s">
        <v>60</v>
      </c>
      <c r="H26" s="3" t="s">
        <v>155</v>
      </c>
      <c r="I26" s="3" t="s">
        <v>67</v>
      </c>
      <c r="J26" s="3" t="s">
        <v>156</v>
      </c>
      <c r="K26" s="3" t="s">
        <v>158</v>
      </c>
      <c r="L26" s="3" t="s">
        <v>158</v>
      </c>
      <c r="M26" s="4">
        <v>0</v>
      </c>
      <c r="N26" s="5" t="str">
        <f t="shared" si="0"/>
        <v/>
      </c>
      <c r="O26" s="3">
        <v>150</v>
      </c>
      <c r="P26" s="6">
        <v>4500</v>
      </c>
      <c r="Q26" s="7" t="s">
        <v>61</v>
      </c>
      <c r="R26" s="8" t="s">
        <v>62</v>
      </c>
      <c r="S26" s="9" t="s">
        <v>63</v>
      </c>
    </row>
    <row r="27" spans="1:19" ht="13.5" customHeight="1" x14ac:dyDescent="0.35">
      <c r="A27" s="10">
        <v>24</v>
      </c>
      <c r="B27" s="10"/>
      <c r="C27" s="3"/>
      <c r="D27" s="3"/>
      <c r="E27" s="10"/>
      <c r="F27" s="10"/>
      <c r="G27" s="10"/>
      <c r="H27" s="10"/>
      <c r="I27" s="10"/>
      <c r="J27" s="10"/>
      <c r="K27" s="10"/>
      <c r="L27" s="10"/>
      <c r="M27" s="4">
        <f t="shared" si="2"/>
        <v>0</v>
      </c>
      <c r="N27" s="5" t="str">
        <f t="shared" si="0"/>
        <v/>
      </c>
      <c r="O27" s="10"/>
      <c r="P27" s="6">
        <f t="shared" si="1"/>
        <v>0</v>
      </c>
      <c r="Q27" s="7"/>
      <c r="R27" s="8"/>
      <c r="S27" s="11"/>
    </row>
    <row r="28" spans="1:19" ht="13.5" customHeight="1" x14ac:dyDescent="0.35">
      <c r="A28" s="3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>
        <f t="shared" si="2"/>
        <v>0</v>
      </c>
      <c r="N28" s="5" t="str">
        <f t="shared" si="0"/>
        <v/>
      </c>
      <c r="O28" s="3"/>
      <c r="P28" s="6">
        <f t="shared" si="1"/>
        <v>0</v>
      </c>
      <c r="Q28" s="7"/>
      <c r="R28" s="8"/>
      <c r="S28" s="9"/>
    </row>
    <row r="29" spans="1:19" ht="13.5" customHeight="1" x14ac:dyDescent="0.35">
      <c r="A29" s="10">
        <v>26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4">
        <f t="shared" si="2"/>
        <v>0</v>
      </c>
      <c r="N29" s="5" t="str">
        <f t="shared" si="0"/>
        <v/>
      </c>
      <c r="O29" s="10"/>
      <c r="P29" s="6">
        <f t="shared" si="1"/>
        <v>0</v>
      </c>
      <c r="Q29" s="7"/>
      <c r="R29" s="8"/>
      <c r="S29" s="11"/>
    </row>
    <row r="30" spans="1:19" ht="13.5" customHeight="1" x14ac:dyDescent="0.35">
      <c r="A30" s="3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>
        <f t="shared" si="2"/>
        <v>0</v>
      </c>
      <c r="N30" s="5" t="str">
        <f t="shared" si="0"/>
        <v/>
      </c>
      <c r="O30" s="3"/>
      <c r="P30" s="6">
        <f t="shared" si="1"/>
        <v>0</v>
      </c>
      <c r="Q30" s="7"/>
      <c r="R30" s="8"/>
      <c r="S30" s="9"/>
    </row>
    <row r="31" spans="1:19" ht="13.5" customHeight="1" x14ac:dyDescent="0.35">
      <c r="A31" s="10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4">
        <f t="shared" si="2"/>
        <v>0</v>
      </c>
      <c r="N31" s="5" t="str">
        <f t="shared" si="0"/>
        <v/>
      </c>
      <c r="O31" s="10"/>
      <c r="P31" s="6">
        <f t="shared" si="1"/>
        <v>0</v>
      </c>
      <c r="Q31" s="7"/>
      <c r="R31" s="8"/>
      <c r="S31" s="11"/>
    </row>
    <row r="32" spans="1:19" ht="13.5" customHeight="1" x14ac:dyDescent="0.35">
      <c r="A32" s="3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>
        <f t="shared" si="2"/>
        <v>0</v>
      </c>
      <c r="N32" s="5" t="str">
        <f t="shared" si="0"/>
        <v/>
      </c>
      <c r="O32" s="3"/>
      <c r="P32" s="6">
        <f t="shared" si="1"/>
        <v>0</v>
      </c>
      <c r="Q32" s="7"/>
      <c r="R32" s="8"/>
      <c r="S32" s="9"/>
    </row>
    <row r="33" spans="1:19" ht="13.5" customHeight="1" x14ac:dyDescent="0.35">
      <c r="A33" s="10">
        <v>30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4">
        <f t="shared" si="2"/>
        <v>0</v>
      </c>
      <c r="N33" s="5" t="str">
        <f t="shared" si="0"/>
        <v/>
      </c>
      <c r="O33" s="10"/>
      <c r="P33" s="6">
        <f t="shared" si="1"/>
        <v>0</v>
      </c>
      <c r="Q33" s="7"/>
      <c r="R33" s="8"/>
      <c r="S33" s="11"/>
    </row>
    <row r="34" spans="1:19" ht="13.5" customHeight="1" x14ac:dyDescent="0.35">
      <c r="A34" s="3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>
        <f t="shared" si="2"/>
        <v>0</v>
      </c>
      <c r="N34" s="5" t="str">
        <f t="shared" si="0"/>
        <v/>
      </c>
      <c r="O34" s="3"/>
      <c r="P34" s="6">
        <f t="shared" si="1"/>
        <v>0</v>
      </c>
      <c r="Q34" s="7"/>
      <c r="R34" s="8"/>
      <c r="S34" s="9"/>
    </row>
    <row r="35" spans="1:19" ht="13.5" customHeight="1" x14ac:dyDescent="0.35">
      <c r="A35" s="10">
        <v>32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4">
        <f t="shared" si="2"/>
        <v>0</v>
      </c>
      <c r="N35" s="5" t="str">
        <f t="shared" si="0"/>
        <v/>
      </c>
      <c r="O35" s="10"/>
      <c r="P35" s="6">
        <f t="shared" si="1"/>
        <v>0</v>
      </c>
      <c r="Q35" s="7"/>
      <c r="R35" s="8"/>
      <c r="S35" s="11"/>
    </row>
    <row r="36" spans="1:19" ht="13.5" customHeight="1" x14ac:dyDescent="0.35">
      <c r="A36" s="3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>
        <f t="shared" si="2"/>
        <v>0</v>
      </c>
      <c r="N36" s="5" t="str">
        <f t="shared" si="0"/>
        <v/>
      </c>
      <c r="O36" s="3"/>
      <c r="P36" s="6">
        <f t="shared" si="1"/>
        <v>0</v>
      </c>
      <c r="Q36" s="7"/>
      <c r="R36" s="8"/>
      <c r="S36" s="9"/>
    </row>
    <row r="37" spans="1:19" ht="13.5" customHeight="1" x14ac:dyDescent="0.35">
      <c r="A37" s="10">
        <v>34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4">
        <f t="shared" si="2"/>
        <v>0</v>
      </c>
      <c r="N37" s="5" t="str">
        <f t="shared" si="0"/>
        <v/>
      </c>
      <c r="O37" s="10"/>
      <c r="P37" s="6">
        <f t="shared" si="1"/>
        <v>0</v>
      </c>
      <c r="Q37" s="7"/>
      <c r="R37" s="8"/>
      <c r="S37" s="11"/>
    </row>
    <row r="38" spans="1:19" ht="13.5" customHeight="1" x14ac:dyDescent="0.35">
      <c r="A38" s="3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>
        <f t="shared" si="2"/>
        <v>0</v>
      </c>
      <c r="N38" s="5" t="str">
        <f t="shared" si="0"/>
        <v/>
      </c>
      <c r="O38" s="3"/>
      <c r="P38" s="6">
        <f t="shared" si="1"/>
        <v>0</v>
      </c>
      <c r="Q38" s="7"/>
      <c r="R38" s="8"/>
      <c r="S38" s="9"/>
    </row>
    <row r="39" spans="1:19" ht="13.5" customHeight="1" x14ac:dyDescent="0.35">
      <c r="A39" s="10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4">
        <f t="shared" si="2"/>
        <v>0</v>
      </c>
      <c r="N39" s="5" t="str">
        <f t="shared" si="0"/>
        <v/>
      </c>
      <c r="O39" s="10"/>
      <c r="P39" s="6">
        <f t="shared" si="1"/>
        <v>0</v>
      </c>
      <c r="Q39" s="7"/>
      <c r="R39" s="8"/>
      <c r="S39" s="11"/>
    </row>
    <row r="40" spans="1:19" ht="13.5" customHeight="1" x14ac:dyDescent="0.35">
      <c r="A40" s="3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>
        <f t="shared" si="2"/>
        <v>0</v>
      </c>
      <c r="N40" s="5" t="str">
        <f t="shared" si="0"/>
        <v/>
      </c>
      <c r="O40" s="3"/>
      <c r="P40" s="6">
        <f t="shared" si="1"/>
        <v>0</v>
      </c>
      <c r="Q40" s="7"/>
      <c r="R40" s="8"/>
      <c r="S40" s="9"/>
    </row>
    <row r="41" spans="1:19" ht="13.5" customHeight="1" x14ac:dyDescent="0.35">
      <c r="A41" s="10">
        <v>38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4">
        <f t="shared" si="2"/>
        <v>0</v>
      </c>
      <c r="N41" s="5" t="str">
        <f t="shared" si="0"/>
        <v/>
      </c>
      <c r="O41" s="10"/>
      <c r="P41" s="6">
        <f t="shared" si="1"/>
        <v>0</v>
      </c>
      <c r="Q41" s="7"/>
      <c r="R41" s="8"/>
      <c r="S41" s="11"/>
    </row>
    <row r="42" spans="1:19" ht="13.5" customHeight="1" x14ac:dyDescent="0.35">
      <c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>
        <f t="shared" si="2"/>
        <v>0</v>
      </c>
      <c r="N42" s="5" t="str">
        <f t="shared" si="0"/>
        <v/>
      </c>
      <c r="O42" s="3"/>
      <c r="P42" s="6">
        <f t="shared" si="1"/>
        <v>0</v>
      </c>
      <c r="Q42" s="7"/>
      <c r="R42" s="8"/>
      <c r="S42" s="9"/>
    </row>
    <row r="43" spans="1:19" ht="13.5" customHeight="1" x14ac:dyDescent="0.35">
      <c r="A43" s="10">
        <v>40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4">
        <f t="shared" si="2"/>
        <v>0</v>
      </c>
      <c r="N43" s="5" t="str">
        <f t="shared" si="0"/>
        <v/>
      </c>
      <c r="O43" s="10"/>
      <c r="P43" s="6">
        <f t="shared" si="1"/>
        <v>0</v>
      </c>
      <c r="Q43" s="7"/>
      <c r="R43" s="8"/>
      <c r="S43" s="11"/>
    </row>
    <row r="44" spans="1:19" ht="13.5" customHeight="1" x14ac:dyDescent="0.35">
      <c r="A44" s="3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>
        <f t="shared" si="2"/>
        <v>0</v>
      </c>
      <c r="N44" s="5" t="str">
        <f t="shared" si="0"/>
        <v/>
      </c>
      <c r="O44" s="3"/>
      <c r="P44" s="6">
        <f t="shared" si="1"/>
        <v>0</v>
      </c>
      <c r="Q44" s="7"/>
      <c r="R44" s="8"/>
      <c r="S44" s="9"/>
    </row>
    <row r="45" spans="1:19" ht="13.5" customHeight="1" x14ac:dyDescent="0.35">
      <c r="A45" s="10">
        <v>42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4">
        <f t="shared" si="2"/>
        <v>0</v>
      </c>
      <c r="N45" s="5" t="str">
        <f t="shared" si="0"/>
        <v/>
      </c>
      <c r="O45" s="10"/>
      <c r="P45" s="6">
        <f t="shared" si="1"/>
        <v>0</v>
      </c>
      <c r="Q45" s="7"/>
      <c r="R45" s="8"/>
      <c r="S45" s="11"/>
    </row>
    <row r="46" spans="1:19" ht="13.5" customHeight="1" x14ac:dyDescent="0.35">
      <c r="A46" s="3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>
        <f t="shared" si="2"/>
        <v>0</v>
      </c>
      <c r="N46" s="5" t="str">
        <f t="shared" si="0"/>
        <v/>
      </c>
      <c r="O46" s="3"/>
      <c r="P46" s="6">
        <f t="shared" si="1"/>
        <v>0</v>
      </c>
      <c r="Q46" s="7"/>
      <c r="R46" s="8"/>
      <c r="S46" s="9"/>
    </row>
    <row r="47" spans="1:19" ht="13.5" customHeight="1" x14ac:dyDescent="0.35">
      <c r="A47" s="10">
        <v>44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4">
        <f t="shared" si="2"/>
        <v>0</v>
      </c>
      <c r="N47" s="5" t="str">
        <f t="shared" si="0"/>
        <v/>
      </c>
      <c r="O47" s="10"/>
      <c r="P47" s="6">
        <f t="shared" si="1"/>
        <v>0</v>
      </c>
      <c r="Q47" s="7"/>
      <c r="R47" s="8"/>
      <c r="S47" s="11"/>
    </row>
    <row r="48" spans="1:19" ht="13.5" customHeight="1" x14ac:dyDescent="0.35">
      <c r="A48" s="3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>
        <f t="shared" si="2"/>
        <v>0</v>
      </c>
      <c r="N48" s="5" t="str">
        <f t="shared" si="0"/>
        <v/>
      </c>
      <c r="O48" s="3"/>
      <c r="P48" s="6">
        <f t="shared" si="1"/>
        <v>0</v>
      </c>
      <c r="Q48" s="7"/>
      <c r="R48" s="8"/>
      <c r="S48" s="9"/>
    </row>
    <row r="49" spans="1:19" ht="13.5" customHeight="1" x14ac:dyDescent="0.35">
      <c r="A49" s="10">
        <v>46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4">
        <f t="shared" si="2"/>
        <v>0</v>
      </c>
      <c r="N49" s="5" t="str">
        <f t="shared" si="0"/>
        <v/>
      </c>
      <c r="O49" s="10"/>
      <c r="P49" s="6">
        <f t="shared" si="1"/>
        <v>0</v>
      </c>
      <c r="Q49" s="7"/>
      <c r="R49" s="8"/>
      <c r="S49" s="11"/>
    </row>
    <row r="50" spans="1:19" ht="13.5" customHeight="1" x14ac:dyDescent="0.35">
      <c r="A50" s="3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>
        <f t="shared" si="2"/>
        <v>0</v>
      </c>
      <c r="N50" s="5" t="str">
        <f t="shared" si="0"/>
        <v/>
      </c>
      <c r="O50" s="3"/>
      <c r="P50" s="6">
        <f t="shared" si="1"/>
        <v>0</v>
      </c>
      <c r="Q50" s="7"/>
      <c r="R50" s="8"/>
      <c r="S50" s="9"/>
    </row>
    <row r="51" spans="1:19" ht="13.5" customHeight="1" x14ac:dyDescent="0.35">
      <c r="A51" s="10">
        <v>48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4">
        <f t="shared" si="2"/>
        <v>0</v>
      </c>
      <c r="N51" s="5" t="str">
        <f t="shared" si="0"/>
        <v/>
      </c>
      <c r="O51" s="10"/>
      <c r="P51" s="6">
        <f t="shared" si="1"/>
        <v>0</v>
      </c>
      <c r="Q51" s="7"/>
      <c r="R51" s="8"/>
      <c r="S51" s="11"/>
    </row>
    <row r="52" spans="1:19" ht="13.5" customHeight="1" x14ac:dyDescent="0.35">
      <c r="A52" s="3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>
        <f t="shared" si="2"/>
        <v>0</v>
      </c>
      <c r="N52" s="5" t="str">
        <f t="shared" si="0"/>
        <v/>
      </c>
      <c r="O52" s="3"/>
      <c r="P52" s="6">
        <f t="shared" si="1"/>
        <v>0</v>
      </c>
      <c r="Q52" s="7"/>
      <c r="R52" s="8"/>
      <c r="S52" s="9"/>
    </row>
    <row r="53" spans="1:19" ht="13.5" customHeight="1" x14ac:dyDescent="0.35">
      <c r="A53" s="10">
        <v>50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4">
        <f t="shared" si="2"/>
        <v>0</v>
      </c>
      <c r="N53" s="5" t="str">
        <f t="shared" si="0"/>
        <v/>
      </c>
      <c r="O53" s="10"/>
      <c r="P53" s="6">
        <f t="shared" si="1"/>
        <v>0</v>
      </c>
      <c r="Q53" s="7"/>
      <c r="R53" s="8"/>
      <c r="S53" s="11"/>
    </row>
    <row r="54" spans="1:19" ht="13.5" customHeight="1" x14ac:dyDescent="0.35">
      <c r="A54" s="3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>
        <f t="shared" si="2"/>
        <v>0</v>
      </c>
      <c r="N54" s="5" t="str">
        <f t="shared" si="0"/>
        <v/>
      </c>
      <c r="O54" s="3"/>
      <c r="P54" s="6">
        <f t="shared" si="1"/>
        <v>0</v>
      </c>
      <c r="Q54" s="7"/>
      <c r="R54" s="8"/>
      <c r="S54" s="9"/>
    </row>
    <row r="55" spans="1:19" ht="13.5" customHeight="1" x14ac:dyDescent="0.35">
      <c r="A55" s="10">
        <v>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4">
        <f t="shared" si="2"/>
        <v>0</v>
      </c>
      <c r="N55" s="5" t="str">
        <f t="shared" si="0"/>
        <v/>
      </c>
      <c r="O55" s="10"/>
      <c r="P55" s="6">
        <f t="shared" si="1"/>
        <v>0</v>
      </c>
      <c r="Q55" s="7"/>
      <c r="R55" s="8"/>
      <c r="S55" s="11"/>
    </row>
    <row r="56" spans="1:19" ht="13.5" customHeight="1" x14ac:dyDescent="0.35">
      <c r="A56" s="3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>
        <f t="shared" si="2"/>
        <v>0</v>
      </c>
      <c r="N56" s="5" t="str">
        <f t="shared" si="0"/>
        <v/>
      </c>
      <c r="O56" s="3"/>
      <c r="P56" s="6">
        <f t="shared" si="1"/>
        <v>0</v>
      </c>
      <c r="Q56" s="7"/>
      <c r="R56" s="8"/>
      <c r="S56" s="9"/>
    </row>
    <row r="57" spans="1:19" ht="13.5" customHeight="1" x14ac:dyDescent="0.35">
      <c r="A57" s="10">
        <v>54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4">
        <f t="shared" si="2"/>
        <v>0</v>
      </c>
      <c r="N57" s="5" t="str">
        <f t="shared" si="0"/>
        <v/>
      </c>
      <c r="O57" s="10"/>
      <c r="P57" s="6">
        <f t="shared" si="1"/>
        <v>0</v>
      </c>
      <c r="Q57" s="7"/>
      <c r="R57" s="8"/>
      <c r="S57" s="11"/>
    </row>
    <row r="58" spans="1:19" ht="13.5" customHeight="1" x14ac:dyDescent="0.35">
      <c r="A58" s="3">
        <v>55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>
        <f t="shared" si="2"/>
        <v>0</v>
      </c>
      <c r="N58" s="5" t="str">
        <f t="shared" si="0"/>
        <v/>
      </c>
      <c r="O58" s="3"/>
      <c r="P58" s="6">
        <f t="shared" si="1"/>
        <v>0</v>
      </c>
      <c r="Q58" s="7"/>
      <c r="R58" s="8"/>
      <c r="S58" s="9"/>
    </row>
    <row r="59" spans="1:19" ht="13.5" customHeight="1" x14ac:dyDescent="0.35">
      <c r="A59" s="10">
        <v>56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4">
        <f t="shared" si="2"/>
        <v>0</v>
      </c>
      <c r="N59" s="5" t="str">
        <f t="shared" si="0"/>
        <v/>
      </c>
      <c r="O59" s="10"/>
      <c r="P59" s="6">
        <f t="shared" si="1"/>
        <v>0</v>
      </c>
      <c r="Q59" s="7"/>
      <c r="R59" s="8"/>
      <c r="S59" s="11"/>
    </row>
    <row r="60" spans="1:19" ht="13.5" customHeight="1" x14ac:dyDescent="0.35">
      <c r="A60" s="3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>
        <f t="shared" si="2"/>
        <v>0</v>
      </c>
      <c r="N60" s="5" t="str">
        <f t="shared" si="0"/>
        <v/>
      </c>
      <c r="O60" s="3"/>
      <c r="P60" s="6">
        <f t="shared" si="1"/>
        <v>0</v>
      </c>
      <c r="Q60" s="7"/>
      <c r="R60" s="8"/>
      <c r="S60" s="9"/>
    </row>
    <row r="61" spans="1:19" ht="13.5" customHeight="1" x14ac:dyDescent="0.35">
      <c r="A61" s="10">
        <v>58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4">
        <f t="shared" si="2"/>
        <v>0</v>
      </c>
      <c r="N61" s="5" t="str">
        <f t="shared" si="0"/>
        <v/>
      </c>
      <c r="O61" s="10"/>
      <c r="P61" s="6">
        <f t="shared" si="1"/>
        <v>0</v>
      </c>
      <c r="Q61" s="7"/>
      <c r="R61" s="8"/>
      <c r="S61" s="11"/>
    </row>
    <row r="62" spans="1:19" ht="13.5" customHeight="1" x14ac:dyDescent="0.35">
      <c r="A62" s="3">
        <v>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>
        <f t="shared" si="2"/>
        <v>0</v>
      </c>
      <c r="N62" s="5" t="str">
        <f t="shared" si="0"/>
        <v/>
      </c>
      <c r="O62" s="3"/>
      <c r="P62" s="6">
        <f t="shared" si="1"/>
        <v>0</v>
      </c>
      <c r="Q62" s="7"/>
      <c r="R62" s="8"/>
      <c r="S62" s="9"/>
    </row>
    <row r="63" spans="1:19" ht="13.5" customHeight="1" x14ac:dyDescent="0.35">
      <c r="A63" s="10">
        <v>60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4">
        <f t="shared" si="2"/>
        <v>0</v>
      </c>
      <c r="N63" s="5" t="str">
        <f t="shared" si="0"/>
        <v/>
      </c>
      <c r="O63" s="10"/>
      <c r="P63" s="6">
        <f t="shared" si="1"/>
        <v>0</v>
      </c>
      <c r="Q63" s="7"/>
      <c r="R63" s="8"/>
      <c r="S63" s="11"/>
    </row>
    <row r="64" spans="1:19" ht="13.5" customHeight="1" x14ac:dyDescent="0.35">
      <c r="A64" s="3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>
        <f t="shared" si="2"/>
        <v>0</v>
      </c>
      <c r="N64" s="5" t="str">
        <f t="shared" si="0"/>
        <v/>
      </c>
      <c r="O64" s="3"/>
      <c r="P64" s="6">
        <f t="shared" si="1"/>
        <v>0</v>
      </c>
      <c r="Q64" s="7"/>
      <c r="R64" s="8"/>
      <c r="S64" s="9"/>
    </row>
    <row r="65" spans="1:19" ht="13.5" customHeight="1" x14ac:dyDescent="0.35">
      <c r="A65" s="10">
        <v>62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4">
        <f t="shared" si="2"/>
        <v>0</v>
      </c>
      <c r="N65" s="5" t="str">
        <f t="shared" si="0"/>
        <v/>
      </c>
      <c r="O65" s="10"/>
      <c r="P65" s="6">
        <f t="shared" si="1"/>
        <v>0</v>
      </c>
      <c r="Q65" s="7"/>
      <c r="R65" s="8"/>
      <c r="S65" s="11"/>
    </row>
    <row r="66" spans="1:19" ht="13.5" customHeight="1" x14ac:dyDescent="0.35">
      <c r="A66" s="3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>
        <f t="shared" si="2"/>
        <v>0</v>
      </c>
      <c r="N66" s="5" t="str">
        <f t="shared" si="0"/>
        <v/>
      </c>
      <c r="O66" s="3"/>
      <c r="P66" s="6">
        <f t="shared" si="1"/>
        <v>0</v>
      </c>
      <c r="Q66" s="7"/>
      <c r="R66" s="8"/>
      <c r="S66" s="9"/>
    </row>
    <row r="67" spans="1:19" ht="13.5" customHeight="1" x14ac:dyDescent="0.35">
      <c r="A67" s="10">
        <v>64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4">
        <f t="shared" si="2"/>
        <v>0</v>
      </c>
      <c r="N67" s="5" t="str">
        <f t="shared" si="0"/>
        <v/>
      </c>
      <c r="O67" s="10"/>
      <c r="P67" s="6">
        <f t="shared" si="1"/>
        <v>0</v>
      </c>
      <c r="Q67" s="7"/>
      <c r="R67" s="8"/>
      <c r="S67" s="11"/>
    </row>
    <row r="68" spans="1:19" ht="13.5" customHeight="1" x14ac:dyDescent="0.35">
      <c r="A68" s="3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>
        <f t="shared" ref="M68:M131" si="3">IFERROR(K68-L68,"")</f>
        <v>0</v>
      </c>
      <c r="N68" s="5" t="str">
        <f t="shared" ref="N68:N131" si="4">IFERROR(L68/K68,"")</f>
        <v/>
      </c>
      <c r="O68" s="3"/>
      <c r="P68" s="6">
        <f t="shared" ref="P68:P131" si="5">IFERROR(L68*O68,"")</f>
        <v>0</v>
      </c>
      <c r="Q68" s="7"/>
      <c r="R68" s="8"/>
      <c r="S68" s="9"/>
    </row>
    <row r="69" spans="1:19" ht="13.5" customHeight="1" x14ac:dyDescent="0.35">
      <c r="A69" s="10">
        <v>66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4">
        <f t="shared" si="3"/>
        <v>0</v>
      </c>
      <c r="N69" s="5" t="str">
        <f t="shared" si="4"/>
        <v/>
      </c>
      <c r="O69" s="10"/>
      <c r="P69" s="6">
        <f t="shared" si="5"/>
        <v>0</v>
      </c>
      <c r="Q69" s="7"/>
      <c r="R69" s="8"/>
      <c r="S69" s="11"/>
    </row>
    <row r="70" spans="1:19" ht="13.5" customHeight="1" x14ac:dyDescent="0.35">
      <c r="A70" s="3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>
        <f t="shared" si="3"/>
        <v>0</v>
      </c>
      <c r="N70" s="5" t="str">
        <f t="shared" si="4"/>
        <v/>
      </c>
      <c r="O70" s="3"/>
      <c r="P70" s="6">
        <f t="shared" si="5"/>
        <v>0</v>
      </c>
      <c r="Q70" s="7"/>
      <c r="R70" s="8"/>
      <c r="S70" s="9"/>
    </row>
    <row r="71" spans="1:19" ht="13.5" customHeight="1" x14ac:dyDescent="0.35">
      <c r="A71" s="10">
        <v>68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4">
        <f t="shared" si="3"/>
        <v>0</v>
      </c>
      <c r="N71" s="5" t="str">
        <f t="shared" si="4"/>
        <v/>
      </c>
      <c r="O71" s="10"/>
      <c r="P71" s="6">
        <f t="shared" si="5"/>
        <v>0</v>
      </c>
      <c r="Q71" s="7"/>
      <c r="R71" s="8"/>
      <c r="S71" s="11"/>
    </row>
    <row r="72" spans="1:19" ht="13.5" customHeight="1" x14ac:dyDescent="0.35">
      <c r="A72" s="3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>
        <f t="shared" si="3"/>
        <v>0</v>
      </c>
      <c r="N72" s="5" t="str">
        <f t="shared" si="4"/>
        <v/>
      </c>
      <c r="O72" s="3"/>
      <c r="P72" s="6">
        <f t="shared" si="5"/>
        <v>0</v>
      </c>
      <c r="Q72" s="7"/>
      <c r="R72" s="8"/>
      <c r="S72" s="9"/>
    </row>
    <row r="73" spans="1:19" ht="13.5" customHeight="1" x14ac:dyDescent="0.35">
      <c r="A73" s="10">
        <v>70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4">
        <f t="shared" si="3"/>
        <v>0</v>
      </c>
      <c r="N73" s="5" t="str">
        <f t="shared" si="4"/>
        <v/>
      </c>
      <c r="O73" s="10"/>
      <c r="P73" s="6">
        <f t="shared" si="5"/>
        <v>0</v>
      </c>
      <c r="Q73" s="7"/>
      <c r="R73" s="8"/>
      <c r="S73" s="11"/>
    </row>
    <row r="74" spans="1:19" ht="13.5" customHeight="1" x14ac:dyDescent="0.35">
      <c r="A74" s="3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>
        <f t="shared" si="3"/>
        <v>0</v>
      </c>
      <c r="N74" s="5" t="str">
        <f t="shared" si="4"/>
        <v/>
      </c>
      <c r="O74" s="3"/>
      <c r="P74" s="6">
        <f t="shared" si="5"/>
        <v>0</v>
      </c>
      <c r="Q74" s="7"/>
      <c r="R74" s="8"/>
      <c r="S74" s="9"/>
    </row>
    <row r="75" spans="1:19" ht="13.5" customHeight="1" x14ac:dyDescent="0.35">
      <c r="A75" s="10">
        <v>72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4">
        <f t="shared" si="3"/>
        <v>0</v>
      </c>
      <c r="N75" s="5" t="str">
        <f t="shared" si="4"/>
        <v/>
      </c>
      <c r="O75" s="10"/>
      <c r="P75" s="6">
        <f t="shared" si="5"/>
        <v>0</v>
      </c>
      <c r="Q75" s="7"/>
      <c r="R75" s="8"/>
      <c r="S75" s="11"/>
    </row>
    <row r="76" spans="1:19" ht="13.5" customHeight="1" x14ac:dyDescent="0.35">
      <c r="A76" s="3">
        <v>73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>
        <f t="shared" si="3"/>
        <v>0</v>
      </c>
      <c r="N76" s="5" t="str">
        <f t="shared" si="4"/>
        <v/>
      </c>
      <c r="O76" s="3"/>
      <c r="P76" s="6">
        <f t="shared" si="5"/>
        <v>0</v>
      </c>
      <c r="Q76" s="7"/>
      <c r="R76" s="8"/>
      <c r="S76" s="9"/>
    </row>
    <row r="77" spans="1:19" ht="13.5" customHeight="1" x14ac:dyDescent="0.35">
      <c r="A77" s="10">
        <v>74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4">
        <f t="shared" si="3"/>
        <v>0</v>
      </c>
      <c r="N77" s="5" t="str">
        <f t="shared" si="4"/>
        <v/>
      </c>
      <c r="O77" s="10"/>
      <c r="P77" s="6">
        <f t="shared" si="5"/>
        <v>0</v>
      </c>
      <c r="Q77" s="7"/>
      <c r="R77" s="8"/>
      <c r="S77" s="11"/>
    </row>
    <row r="78" spans="1:19" ht="13.5" customHeight="1" x14ac:dyDescent="0.35">
      <c r="A78" s="3">
        <v>75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>
        <f t="shared" si="3"/>
        <v>0</v>
      </c>
      <c r="N78" s="5" t="str">
        <f t="shared" si="4"/>
        <v/>
      </c>
      <c r="O78" s="3"/>
      <c r="P78" s="6">
        <f t="shared" si="5"/>
        <v>0</v>
      </c>
      <c r="Q78" s="7"/>
      <c r="R78" s="8"/>
      <c r="S78" s="9"/>
    </row>
    <row r="79" spans="1:19" ht="13.5" customHeight="1" x14ac:dyDescent="0.35">
      <c r="A79" s="10">
        <v>76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4">
        <f t="shared" si="3"/>
        <v>0</v>
      </c>
      <c r="N79" s="5" t="str">
        <f t="shared" si="4"/>
        <v/>
      </c>
      <c r="O79" s="10"/>
      <c r="P79" s="6">
        <f t="shared" si="5"/>
        <v>0</v>
      </c>
      <c r="Q79" s="7"/>
      <c r="R79" s="8"/>
      <c r="S79" s="11"/>
    </row>
    <row r="80" spans="1:19" ht="13.5" customHeight="1" x14ac:dyDescent="0.35">
      <c r="A80" s="3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>
        <f t="shared" si="3"/>
        <v>0</v>
      </c>
      <c r="N80" s="5" t="str">
        <f t="shared" si="4"/>
        <v/>
      </c>
      <c r="O80" s="3"/>
      <c r="P80" s="6">
        <f t="shared" si="5"/>
        <v>0</v>
      </c>
      <c r="Q80" s="7"/>
      <c r="R80" s="8"/>
      <c r="S80" s="9"/>
    </row>
    <row r="81" spans="1:19" ht="13.5" customHeight="1" x14ac:dyDescent="0.35">
      <c r="A81" s="10">
        <v>78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4">
        <f t="shared" si="3"/>
        <v>0</v>
      </c>
      <c r="N81" s="5" t="str">
        <f t="shared" si="4"/>
        <v/>
      </c>
      <c r="O81" s="10"/>
      <c r="P81" s="6">
        <f t="shared" si="5"/>
        <v>0</v>
      </c>
      <c r="Q81" s="7"/>
      <c r="R81" s="8"/>
      <c r="S81" s="11"/>
    </row>
    <row r="82" spans="1:19" ht="13.5" customHeight="1" x14ac:dyDescent="0.35">
      <c r="A82" s="3">
        <v>79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>
        <f t="shared" si="3"/>
        <v>0</v>
      </c>
      <c r="N82" s="5" t="str">
        <f t="shared" si="4"/>
        <v/>
      </c>
      <c r="O82" s="3"/>
      <c r="P82" s="6">
        <f t="shared" si="5"/>
        <v>0</v>
      </c>
      <c r="Q82" s="7"/>
      <c r="R82" s="8"/>
      <c r="S82" s="9"/>
    </row>
    <row r="83" spans="1:19" ht="13.5" customHeight="1" x14ac:dyDescent="0.35">
      <c r="A83" s="10">
        <v>80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4">
        <f t="shared" si="3"/>
        <v>0</v>
      </c>
      <c r="N83" s="5" t="str">
        <f t="shared" si="4"/>
        <v/>
      </c>
      <c r="O83" s="10"/>
      <c r="P83" s="6">
        <f t="shared" si="5"/>
        <v>0</v>
      </c>
      <c r="Q83" s="7"/>
      <c r="R83" s="8"/>
      <c r="S83" s="11"/>
    </row>
    <row r="84" spans="1:19" ht="13.5" customHeight="1" x14ac:dyDescent="0.35">
      <c r="A84" s="3">
        <v>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>
        <f t="shared" si="3"/>
        <v>0</v>
      </c>
      <c r="N84" s="5" t="str">
        <f t="shared" si="4"/>
        <v/>
      </c>
      <c r="O84" s="3"/>
      <c r="P84" s="6">
        <f t="shared" si="5"/>
        <v>0</v>
      </c>
      <c r="Q84" s="7"/>
      <c r="R84" s="8"/>
      <c r="S84" s="9"/>
    </row>
    <row r="85" spans="1:19" ht="13.5" customHeight="1" x14ac:dyDescent="0.35">
      <c r="A85" s="10">
        <v>82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4">
        <f t="shared" si="3"/>
        <v>0</v>
      </c>
      <c r="N85" s="5" t="str">
        <f t="shared" si="4"/>
        <v/>
      </c>
      <c r="O85" s="10"/>
      <c r="P85" s="6">
        <f t="shared" si="5"/>
        <v>0</v>
      </c>
      <c r="Q85" s="7"/>
      <c r="R85" s="8"/>
      <c r="S85" s="11"/>
    </row>
    <row r="86" spans="1:19" ht="13.5" customHeight="1" x14ac:dyDescent="0.35">
      <c r="A86" s="3">
        <v>83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>
        <f t="shared" si="3"/>
        <v>0</v>
      </c>
      <c r="N86" s="5" t="str">
        <f t="shared" si="4"/>
        <v/>
      </c>
      <c r="O86" s="3"/>
      <c r="P86" s="6">
        <f t="shared" si="5"/>
        <v>0</v>
      </c>
      <c r="Q86" s="7"/>
      <c r="R86" s="8"/>
      <c r="S86" s="9"/>
    </row>
    <row r="87" spans="1:19" ht="13.5" customHeight="1" x14ac:dyDescent="0.35">
      <c r="A87" s="10">
        <v>84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4">
        <f t="shared" si="3"/>
        <v>0</v>
      </c>
      <c r="N87" s="5" t="str">
        <f t="shared" si="4"/>
        <v/>
      </c>
      <c r="O87" s="10"/>
      <c r="P87" s="6">
        <f t="shared" si="5"/>
        <v>0</v>
      </c>
      <c r="Q87" s="7"/>
      <c r="R87" s="8"/>
      <c r="S87" s="11"/>
    </row>
    <row r="88" spans="1:19" ht="13.5" customHeight="1" x14ac:dyDescent="0.35">
      <c r="A88" s="3">
        <v>85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>
        <f t="shared" si="3"/>
        <v>0</v>
      </c>
      <c r="N88" s="5" t="str">
        <f t="shared" si="4"/>
        <v/>
      </c>
      <c r="O88" s="3"/>
      <c r="P88" s="6">
        <f t="shared" si="5"/>
        <v>0</v>
      </c>
      <c r="Q88" s="7"/>
      <c r="R88" s="8"/>
      <c r="S88" s="9"/>
    </row>
    <row r="89" spans="1:19" ht="13.5" customHeight="1" x14ac:dyDescent="0.35">
      <c r="A89" s="10">
        <v>86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4">
        <f t="shared" si="3"/>
        <v>0</v>
      </c>
      <c r="N89" s="5" t="str">
        <f t="shared" si="4"/>
        <v/>
      </c>
      <c r="O89" s="10"/>
      <c r="P89" s="6">
        <f t="shared" si="5"/>
        <v>0</v>
      </c>
      <c r="Q89" s="7"/>
      <c r="R89" s="8"/>
      <c r="S89" s="11"/>
    </row>
    <row r="90" spans="1:19" ht="13.5" customHeight="1" x14ac:dyDescent="0.35">
      <c r="A90" s="3">
        <v>87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>
        <f t="shared" si="3"/>
        <v>0</v>
      </c>
      <c r="N90" s="5" t="str">
        <f t="shared" si="4"/>
        <v/>
      </c>
      <c r="O90" s="3"/>
      <c r="P90" s="6">
        <f t="shared" si="5"/>
        <v>0</v>
      </c>
      <c r="Q90" s="7"/>
      <c r="R90" s="8"/>
      <c r="S90" s="9"/>
    </row>
    <row r="91" spans="1:19" ht="13.5" customHeight="1" x14ac:dyDescent="0.35">
      <c r="A91" s="10">
        <v>88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4">
        <f t="shared" si="3"/>
        <v>0</v>
      </c>
      <c r="N91" s="5" t="str">
        <f t="shared" si="4"/>
        <v/>
      </c>
      <c r="O91" s="10"/>
      <c r="P91" s="6">
        <f t="shared" si="5"/>
        <v>0</v>
      </c>
      <c r="Q91" s="7"/>
      <c r="R91" s="8"/>
      <c r="S91" s="11"/>
    </row>
    <row r="92" spans="1:19" ht="13.5" customHeight="1" x14ac:dyDescent="0.35">
      <c r="A92" s="3">
        <v>89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>
        <f t="shared" si="3"/>
        <v>0</v>
      </c>
      <c r="N92" s="5" t="str">
        <f t="shared" si="4"/>
        <v/>
      </c>
      <c r="O92" s="3"/>
      <c r="P92" s="6">
        <f t="shared" si="5"/>
        <v>0</v>
      </c>
      <c r="Q92" s="7"/>
      <c r="R92" s="8"/>
      <c r="S92" s="9"/>
    </row>
    <row r="93" spans="1:19" ht="13.5" customHeight="1" x14ac:dyDescent="0.35">
      <c r="A93" s="10">
        <v>90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4">
        <f t="shared" si="3"/>
        <v>0</v>
      </c>
      <c r="N93" s="5" t="str">
        <f t="shared" si="4"/>
        <v/>
      </c>
      <c r="O93" s="10"/>
      <c r="P93" s="6">
        <f t="shared" si="5"/>
        <v>0</v>
      </c>
      <c r="Q93" s="7"/>
      <c r="R93" s="8"/>
      <c r="S93" s="11"/>
    </row>
    <row r="94" spans="1:19" ht="13.5" customHeight="1" x14ac:dyDescent="0.35">
      <c r="A94" s="3">
        <v>91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>
        <f t="shared" si="3"/>
        <v>0</v>
      </c>
      <c r="N94" s="5" t="str">
        <f t="shared" si="4"/>
        <v/>
      </c>
      <c r="O94" s="3"/>
      <c r="P94" s="6">
        <f t="shared" si="5"/>
        <v>0</v>
      </c>
      <c r="Q94" s="7"/>
      <c r="R94" s="8"/>
      <c r="S94" s="9"/>
    </row>
    <row r="95" spans="1:19" ht="13.5" customHeight="1" x14ac:dyDescent="0.35">
      <c r="A95" s="10">
        <v>92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4">
        <f t="shared" si="3"/>
        <v>0</v>
      </c>
      <c r="N95" s="5" t="str">
        <f t="shared" si="4"/>
        <v/>
      </c>
      <c r="O95" s="10"/>
      <c r="P95" s="6">
        <f t="shared" si="5"/>
        <v>0</v>
      </c>
      <c r="Q95" s="7"/>
      <c r="R95" s="8"/>
      <c r="S95" s="11"/>
    </row>
    <row r="96" spans="1:19" ht="13.5" customHeight="1" x14ac:dyDescent="0.35">
      <c r="A96" s="3">
        <v>93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>
        <f t="shared" si="3"/>
        <v>0</v>
      </c>
      <c r="N96" s="5" t="str">
        <f t="shared" si="4"/>
        <v/>
      </c>
      <c r="O96" s="3"/>
      <c r="P96" s="6">
        <f t="shared" si="5"/>
        <v>0</v>
      </c>
      <c r="Q96" s="7"/>
      <c r="R96" s="8"/>
      <c r="S96" s="9"/>
    </row>
    <row r="97" spans="1:19" ht="13.5" customHeight="1" x14ac:dyDescent="0.35">
      <c r="A97" s="10">
        <v>94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4">
        <f t="shared" si="3"/>
        <v>0</v>
      </c>
      <c r="N97" s="5" t="str">
        <f t="shared" si="4"/>
        <v/>
      </c>
      <c r="O97" s="10"/>
      <c r="P97" s="6">
        <f t="shared" si="5"/>
        <v>0</v>
      </c>
      <c r="Q97" s="7"/>
      <c r="R97" s="8"/>
      <c r="S97" s="11"/>
    </row>
    <row r="98" spans="1:19" ht="13.5" customHeight="1" x14ac:dyDescent="0.35">
      <c r="A98" s="3">
        <v>95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>
        <f t="shared" si="3"/>
        <v>0</v>
      </c>
      <c r="N98" s="5" t="str">
        <f t="shared" si="4"/>
        <v/>
      </c>
      <c r="O98" s="3"/>
      <c r="P98" s="6">
        <f t="shared" si="5"/>
        <v>0</v>
      </c>
      <c r="Q98" s="7"/>
      <c r="R98" s="8"/>
      <c r="S98" s="9"/>
    </row>
    <row r="99" spans="1:19" ht="13.5" customHeight="1" x14ac:dyDescent="0.35">
      <c r="A99" s="10">
        <v>96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4">
        <f t="shared" si="3"/>
        <v>0</v>
      </c>
      <c r="N99" s="5" t="str">
        <f t="shared" si="4"/>
        <v/>
      </c>
      <c r="O99" s="10"/>
      <c r="P99" s="6">
        <f t="shared" si="5"/>
        <v>0</v>
      </c>
      <c r="Q99" s="7"/>
      <c r="R99" s="8"/>
      <c r="S99" s="11"/>
    </row>
    <row r="100" spans="1:19" ht="13.5" customHeight="1" x14ac:dyDescent="0.35">
      <c r="A100" s="3">
        <v>97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>
        <f t="shared" si="3"/>
        <v>0</v>
      </c>
      <c r="N100" s="5" t="str">
        <f t="shared" si="4"/>
        <v/>
      </c>
      <c r="O100" s="3"/>
      <c r="P100" s="6">
        <f t="shared" si="5"/>
        <v>0</v>
      </c>
      <c r="Q100" s="7"/>
      <c r="R100" s="8"/>
      <c r="S100" s="9"/>
    </row>
    <row r="101" spans="1:19" ht="13.5" customHeight="1" x14ac:dyDescent="0.35">
      <c r="A101" s="10">
        <v>98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4">
        <f t="shared" si="3"/>
        <v>0</v>
      </c>
      <c r="N101" s="5" t="str">
        <f t="shared" si="4"/>
        <v/>
      </c>
      <c r="O101" s="10"/>
      <c r="P101" s="6">
        <f t="shared" si="5"/>
        <v>0</v>
      </c>
      <c r="Q101" s="7"/>
      <c r="R101" s="8"/>
      <c r="S101" s="11"/>
    </row>
    <row r="102" spans="1:19" ht="13.5" customHeight="1" x14ac:dyDescent="0.35">
      <c r="A102" s="3">
        <v>99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>
        <f t="shared" si="3"/>
        <v>0</v>
      </c>
      <c r="N102" s="5" t="str">
        <f t="shared" si="4"/>
        <v/>
      </c>
      <c r="O102" s="3"/>
      <c r="P102" s="6">
        <f t="shared" si="5"/>
        <v>0</v>
      </c>
      <c r="Q102" s="7"/>
      <c r="R102" s="8"/>
      <c r="S102" s="9"/>
    </row>
    <row r="103" spans="1:19" ht="13.5" customHeight="1" x14ac:dyDescent="0.35">
      <c r="A103" s="10">
        <v>100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4">
        <f t="shared" si="3"/>
        <v>0</v>
      </c>
      <c r="N103" s="5" t="str">
        <f t="shared" si="4"/>
        <v/>
      </c>
      <c r="O103" s="10"/>
      <c r="P103" s="6">
        <f t="shared" si="5"/>
        <v>0</v>
      </c>
      <c r="Q103" s="7"/>
      <c r="R103" s="8"/>
      <c r="S103" s="11"/>
    </row>
    <row r="104" spans="1:19" ht="13.5" customHeight="1" x14ac:dyDescent="0.35">
      <c r="A104" s="3">
        <v>101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>
        <f t="shared" si="3"/>
        <v>0</v>
      </c>
      <c r="N104" s="5" t="str">
        <f t="shared" si="4"/>
        <v/>
      </c>
      <c r="O104" s="3"/>
      <c r="P104" s="6">
        <f t="shared" si="5"/>
        <v>0</v>
      </c>
      <c r="Q104" s="7"/>
      <c r="R104" s="8"/>
      <c r="S104" s="9"/>
    </row>
    <row r="105" spans="1:19" ht="13.5" customHeight="1" x14ac:dyDescent="0.35">
      <c r="A105" s="10">
        <v>102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4">
        <f t="shared" si="3"/>
        <v>0</v>
      </c>
      <c r="N105" s="5" t="str">
        <f t="shared" si="4"/>
        <v/>
      </c>
      <c r="O105" s="10"/>
      <c r="P105" s="6">
        <f t="shared" si="5"/>
        <v>0</v>
      </c>
      <c r="Q105" s="7"/>
      <c r="R105" s="8"/>
      <c r="S105" s="11"/>
    </row>
    <row r="106" spans="1:19" ht="13.5" customHeight="1" x14ac:dyDescent="0.35">
      <c r="A106" s="3">
        <v>103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>
        <f t="shared" si="3"/>
        <v>0</v>
      </c>
      <c r="N106" s="5" t="str">
        <f t="shared" si="4"/>
        <v/>
      </c>
      <c r="O106" s="3"/>
      <c r="P106" s="6">
        <f t="shared" si="5"/>
        <v>0</v>
      </c>
      <c r="Q106" s="7"/>
      <c r="R106" s="8"/>
      <c r="S106" s="9"/>
    </row>
    <row r="107" spans="1:19" ht="13.5" customHeight="1" x14ac:dyDescent="0.35">
      <c r="A107" s="10">
        <v>104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4">
        <f t="shared" si="3"/>
        <v>0</v>
      </c>
      <c r="N107" s="5" t="str">
        <f t="shared" si="4"/>
        <v/>
      </c>
      <c r="O107" s="10"/>
      <c r="P107" s="6">
        <f t="shared" si="5"/>
        <v>0</v>
      </c>
      <c r="Q107" s="7"/>
      <c r="R107" s="8"/>
      <c r="S107" s="11"/>
    </row>
    <row r="108" spans="1:19" ht="13.5" customHeight="1" x14ac:dyDescent="0.35">
      <c r="A108" s="3">
        <v>105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>
        <f t="shared" si="3"/>
        <v>0</v>
      </c>
      <c r="N108" s="5" t="str">
        <f t="shared" si="4"/>
        <v/>
      </c>
      <c r="O108" s="3"/>
      <c r="P108" s="6">
        <f t="shared" si="5"/>
        <v>0</v>
      </c>
      <c r="Q108" s="7"/>
      <c r="R108" s="8"/>
      <c r="S108" s="9"/>
    </row>
    <row r="109" spans="1:19" ht="13.5" customHeight="1" x14ac:dyDescent="0.35">
      <c r="A109" s="10">
        <v>106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4">
        <f t="shared" si="3"/>
        <v>0</v>
      </c>
      <c r="N109" s="5" t="str">
        <f t="shared" si="4"/>
        <v/>
      </c>
      <c r="O109" s="10"/>
      <c r="P109" s="6">
        <f t="shared" si="5"/>
        <v>0</v>
      </c>
      <c r="Q109" s="7"/>
      <c r="R109" s="8"/>
      <c r="S109" s="11"/>
    </row>
    <row r="110" spans="1:19" ht="13.5" customHeight="1" x14ac:dyDescent="0.35">
      <c r="A110" s="3">
        <v>107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>
        <f t="shared" si="3"/>
        <v>0</v>
      </c>
      <c r="N110" s="5" t="str">
        <f t="shared" si="4"/>
        <v/>
      </c>
      <c r="O110" s="3"/>
      <c r="P110" s="6">
        <f t="shared" si="5"/>
        <v>0</v>
      </c>
      <c r="Q110" s="7"/>
      <c r="R110" s="8"/>
      <c r="S110" s="9"/>
    </row>
    <row r="111" spans="1:19" ht="13.5" customHeight="1" x14ac:dyDescent="0.35">
      <c r="A111" s="10">
        <v>108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4">
        <f t="shared" si="3"/>
        <v>0</v>
      </c>
      <c r="N111" s="5" t="str">
        <f t="shared" si="4"/>
        <v/>
      </c>
      <c r="O111" s="10"/>
      <c r="P111" s="6">
        <f t="shared" si="5"/>
        <v>0</v>
      </c>
      <c r="Q111" s="7"/>
      <c r="R111" s="8"/>
      <c r="S111" s="11"/>
    </row>
    <row r="112" spans="1:19" ht="13.5" customHeight="1" x14ac:dyDescent="0.35">
      <c r="A112" s="3">
        <v>109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>
        <f t="shared" si="3"/>
        <v>0</v>
      </c>
      <c r="N112" s="5" t="str">
        <f t="shared" si="4"/>
        <v/>
      </c>
      <c r="O112" s="3"/>
      <c r="P112" s="6">
        <f t="shared" si="5"/>
        <v>0</v>
      </c>
      <c r="Q112" s="7"/>
      <c r="R112" s="8"/>
      <c r="S112" s="9"/>
    </row>
    <row r="113" spans="1:19" ht="13.5" customHeight="1" x14ac:dyDescent="0.35">
      <c r="A113" s="10">
        <v>110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4">
        <f t="shared" si="3"/>
        <v>0</v>
      </c>
      <c r="N113" s="5" t="str">
        <f t="shared" si="4"/>
        <v/>
      </c>
      <c r="O113" s="10"/>
      <c r="P113" s="6">
        <f t="shared" si="5"/>
        <v>0</v>
      </c>
      <c r="Q113" s="7"/>
      <c r="R113" s="8"/>
      <c r="S113" s="11"/>
    </row>
    <row r="114" spans="1:19" ht="13.5" customHeight="1" x14ac:dyDescent="0.35">
      <c r="A114" s="3">
        <v>111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>
        <f t="shared" si="3"/>
        <v>0</v>
      </c>
      <c r="N114" s="5" t="str">
        <f t="shared" si="4"/>
        <v/>
      </c>
      <c r="O114" s="3"/>
      <c r="P114" s="6">
        <f t="shared" si="5"/>
        <v>0</v>
      </c>
      <c r="Q114" s="7"/>
      <c r="R114" s="8"/>
      <c r="S114" s="9"/>
    </row>
    <row r="115" spans="1:19" ht="13.5" customHeight="1" x14ac:dyDescent="0.35">
      <c r="A115" s="10">
        <v>112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4">
        <f t="shared" si="3"/>
        <v>0</v>
      </c>
      <c r="N115" s="5" t="str">
        <f t="shared" si="4"/>
        <v/>
      </c>
      <c r="O115" s="10"/>
      <c r="P115" s="6">
        <f t="shared" si="5"/>
        <v>0</v>
      </c>
      <c r="Q115" s="7"/>
      <c r="R115" s="8"/>
      <c r="S115" s="11"/>
    </row>
    <row r="116" spans="1:19" ht="13.5" customHeight="1" x14ac:dyDescent="0.35">
      <c r="A116" s="3">
        <v>113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>
        <f t="shared" si="3"/>
        <v>0</v>
      </c>
      <c r="N116" s="5" t="str">
        <f t="shared" si="4"/>
        <v/>
      </c>
      <c r="O116" s="3"/>
      <c r="P116" s="6">
        <f t="shared" si="5"/>
        <v>0</v>
      </c>
      <c r="Q116" s="7"/>
      <c r="R116" s="8"/>
      <c r="S116" s="9"/>
    </row>
    <row r="117" spans="1:19" ht="13.5" customHeight="1" x14ac:dyDescent="0.35">
      <c r="A117" s="10">
        <v>114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4">
        <f t="shared" si="3"/>
        <v>0</v>
      </c>
      <c r="N117" s="5" t="str">
        <f t="shared" si="4"/>
        <v/>
      </c>
      <c r="O117" s="10"/>
      <c r="P117" s="6">
        <f t="shared" si="5"/>
        <v>0</v>
      </c>
      <c r="Q117" s="7"/>
      <c r="R117" s="8"/>
      <c r="S117" s="11"/>
    </row>
    <row r="118" spans="1:19" ht="13.5" customHeight="1" x14ac:dyDescent="0.35">
      <c r="A118" s="3">
        <v>115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>
        <f t="shared" si="3"/>
        <v>0</v>
      </c>
      <c r="N118" s="5" t="str">
        <f t="shared" si="4"/>
        <v/>
      </c>
      <c r="O118" s="3"/>
      <c r="P118" s="6">
        <f t="shared" si="5"/>
        <v>0</v>
      </c>
      <c r="Q118" s="7"/>
      <c r="R118" s="8"/>
      <c r="S118" s="9"/>
    </row>
    <row r="119" spans="1:19" ht="13.5" customHeight="1" x14ac:dyDescent="0.35">
      <c r="A119" s="10">
        <v>116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4">
        <f t="shared" si="3"/>
        <v>0</v>
      </c>
      <c r="N119" s="5" t="str">
        <f t="shared" si="4"/>
        <v/>
      </c>
      <c r="O119" s="10"/>
      <c r="P119" s="6">
        <f t="shared" si="5"/>
        <v>0</v>
      </c>
      <c r="Q119" s="7"/>
      <c r="R119" s="8"/>
      <c r="S119" s="11"/>
    </row>
    <row r="120" spans="1:19" ht="13.5" customHeight="1" x14ac:dyDescent="0.35">
      <c r="A120" s="3">
        <v>117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>
        <f t="shared" si="3"/>
        <v>0</v>
      </c>
      <c r="N120" s="5" t="str">
        <f t="shared" si="4"/>
        <v/>
      </c>
      <c r="O120" s="3"/>
      <c r="P120" s="6">
        <f t="shared" si="5"/>
        <v>0</v>
      </c>
      <c r="Q120" s="7"/>
      <c r="R120" s="8"/>
      <c r="S120" s="9"/>
    </row>
    <row r="121" spans="1:19" ht="13.5" customHeight="1" x14ac:dyDescent="0.35">
      <c r="A121" s="10">
        <v>118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4">
        <f t="shared" si="3"/>
        <v>0</v>
      </c>
      <c r="N121" s="5" t="str">
        <f t="shared" si="4"/>
        <v/>
      </c>
      <c r="O121" s="10"/>
      <c r="P121" s="6">
        <f t="shared" si="5"/>
        <v>0</v>
      </c>
      <c r="Q121" s="7"/>
      <c r="R121" s="8"/>
      <c r="S121" s="11"/>
    </row>
    <row r="122" spans="1:19" ht="13.5" customHeight="1" x14ac:dyDescent="0.35">
      <c r="A122" s="3">
        <v>119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>
        <f t="shared" si="3"/>
        <v>0</v>
      </c>
      <c r="N122" s="5" t="str">
        <f t="shared" si="4"/>
        <v/>
      </c>
      <c r="O122" s="3"/>
      <c r="P122" s="6">
        <f t="shared" si="5"/>
        <v>0</v>
      </c>
      <c r="Q122" s="7"/>
      <c r="R122" s="8"/>
      <c r="S122" s="9"/>
    </row>
    <row r="123" spans="1:19" ht="13.5" customHeight="1" x14ac:dyDescent="0.35">
      <c r="A123" s="10">
        <v>120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4">
        <f t="shared" si="3"/>
        <v>0</v>
      </c>
      <c r="N123" s="5" t="str">
        <f t="shared" si="4"/>
        <v/>
      </c>
      <c r="O123" s="10"/>
      <c r="P123" s="6">
        <f t="shared" si="5"/>
        <v>0</v>
      </c>
      <c r="Q123" s="7"/>
      <c r="R123" s="8"/>
      <c r="S123" s="11"/>
    </row>
    <row r="124" spans="1:19" ht="13.5" customHeight="1" x14ac:dyDescent="0.35">
      <c r="A124" s="3">
        <v>121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>
        <f t="shared" si="3"/>
        <v>0</v>
      </c>
      <c r="N124" s="5" t="str">
        <f t="shared" si="4"/>
        <v/>
      </c>
      <c r="O124" s="3"/>
      <c r="P124" s="6">
        <f t="shared" si="5"/>
        <v>0</v>
      </c>
      <c r="Q124" s="7"/>
      <c r="R124" s="8"/>
      <c r="S124" s="9"/>
    </row>
    <row r="125" spans="1:19" ht="13.5" customHeight="1" x14ac:dyDescent="0.35">
      <c r="A125" s="10">
        <v>122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4">
        <f t="shared" si="3"/>
        <v>0</v>
      </c>
      <c r="N125" s="5" t="str">
        <f t="shared" si="4"/>
        <v/>
      </c>
      <c r="O125" s="10"/>
      <c r="P125" s="6">
        <f t="shared" si="5"/>
        <v>0</v>
      </c>
      <c r="Q125" s="7"/>
      <c r="R125" s="8"/>
      <c r="S125" s="11"/>
    </row>
    <row r="126" spans="1:19" ht="13.5" customHeight="1" x14ac:dyDescent="0.35">
      <c r="A126" s="3">
        <v>123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>
        <f t="shared" si="3"/>
        <v>0</v>
      </c>
      <c r="N126" s="5" t="str">
        <f t="shared" si="4"/>
        <v/>
      </c>
      <c r="O126" s="3"/>
      <c r="P126" s="6">
        <f t="shared" si="5"/>
        <v>0</v>
      </c>
      <c r="Q126" s="7"/>
      <c r="R126" s="8"/>
      <c r="S126" s="9"/>
    </row>
    <row r="127" spans="1:19" ht="13.5" customHeight="1" x14ac:dyDescent="0.35">
      <c r="A127" s="10">
        <v>124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4">
        <f t="shared" si="3"/>
        <v>0</v>
      </c>
      <c r="N127" s="5" t="str">
        <f t="shared" si="4"/>
        <v/>
      </c>
      <c r="O127" s="10"/>
      <c r="P127" s="6">
        <f t="shared" si="5"/>
        <v>0</v>
      </c>
      <c r="Q127" s="7"/>
      <c r="R127" s="8"/>
      <c r="S127" s="11"/>
    </row>
    <row r="128" spans="1:19" ht="13.5" customHeight="1" x14ac:dyDescent="0.35">
      <c r="A128" s="3">
        <v>125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>
        <f t="shared" si="3"/>
        <v>0</v>
      </c>
      <c r="N128" s="5" t="str">
        <f t="shared" si="4"/>
        <v/>
      </c>
      <c r="O128" s="3"/>
      <c r="P128" s="6">
        <f t="shared" si="5"/>
        <v>0</v>
      </c>
      <c r="Q128" s="7"/>
      <c r="R128" s="8"/>
      <c r="S128" s="9"/>
    </row>
    <row r="129" spans="1:19" ht="13.5" customHeight="1" x14ac:dyDescent="0.35">
      <c r="A129" s="10">
        <v>126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4">
        <f t="shared" si="3"/>
        <v>0</v>
      </c>
      <c r="N129" s="5" t="str">
        <f t="shared" si="4"/>
        <v/>
      </c>
      <c r="O129" s="10"/>
      <c r="P129" s="6">
        <f t="shared" si="5"/>
        <v>0</v>
      </c>
      <c r="Q129" s="7"/>
      <c r="R129" s="8"/>
      <c r="S129" s="11"/>
    </row>
    <row r="130" spans="1:19" ht="13.5" customHeight="1" x14ac:dyDescent="0.35">
      <c r="A130" s="3">
        <v>127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>
        <f t="shared" si="3"/>
        <v>0</v>
      </c>
      <c r="N130" s="5" t="str">
        <f t="shared" si="4"/>
        <v/>
      </c>
      <c r="O130" s="3"/>
      <c r="P130" s="6">
        <f t="shared" si="5"/>
        <v>0</v>
      </c>
      <c r="Q130" s="7"/>
      <c r="R130" s="8"/>
      <c r="S130" s="9"/>
    </row>
    <row r="131" spans="1:19" ht="13.5" customHeight="1" x14ac:dyDescent="0.35">
      <c r="A131" s="10">
        <v>128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4">
        <f t="shared" si="3"/>
        <v>0</v>
      </c>
      <c r="N131" s="5" t="str">
        <f t="shared" si="4"/>
        <v/>
      </c>
      <c r="O131" s="10"/>
      <c r="P131" s="6">
        <f t="shared" si="5"/>
        <v>0</v>
      </c>
      <c r="Q131" s="7"/>
      <c r="R131" s="8"/>
      <c r="S131" s="11"/>
    </row>
    <row r="132" spans="1:19" ht="13.5" customHeight="1" x14ac:dyDescent="0.35">
      <c r="A132" s="3">
        <v>129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>
        <f t="shared" ref="M132:M195" si="6">IFERROR(K132-L132,"")</f>
        <v>0</v>
      </c>
      <c r="N132" s="5" t="str">
        <f t="shared" ref="N132:N195" si="7">IFERROR(L132/K132,"")</f>
        <v/>
      </c>
      <c r="O132" s="3"/>
      <c r="P132" s="6">
        <f t="shared" ref="P132:P195" si="8">IFERROR(L132*O132,"")</f>
        <v>0</v>
      </c>
      <c r="Q132" s="7"/>
      <c r="R132" s="8"/>
      <c r="S132" s="9"/>
    </row>
    <row r="133" spans="1:19" ht="13.5" customHeight="1" x14ac:dyDescent="0.35">
      <c r="A133" s="10">
        <v>130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4">
        <f t="shared" si="6"/>
        <v>0</v>
      </c>
      <c r="N133" s="5" t="str">
        <f t="shared" si="7"/>
        <v/>
      </c>
      <c r="O133" s="10"/>
      <c r="P133" s="6">
        <f t="shared" si="8"/>
        <v>0</v>
      </c>
      <c r="Q133" s="7"/>
      <c r="R133" s="8"/>
      <c r="S133" s="11"/>
    </row>
    <row r="134" spans="1:19" ht="13.5" customHeight="1" x14ac:dyDescent="0.35">
      <c r="A134" s="3">
        <v>131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>
        <f t="shared" si="6"/>
        <v>0</v>
      </c>
      <c r="N134" s="5" t="str">
        <f t="shared" si="7"/>
        <v/>
      </c>
      <c r="O134" s="3"/>
      <c r="P134" s="6">
        <f t="shared" si="8"/>
        <v>0</v>
      </c>
      <c r="Q134" s="7"/>
      <c r="R134" s="8"/>
      <c r="S134" s="9"/>
    </row>
    <row r="135" spans="1:19" ht="13.5" customHeight="1" x14ac:dyDescent="0.35">
      <c r="A135" s="10">
        <v>132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4">
        <f t="shared" si="6"/>
        <v>0</v>
      </c>
      <c r="N135" s="5" t="str">
        <f t="shared" si="7"/>
        <v/>
      </c>
      <c r="O135" s="10"/>
      <c r="P135" s="6">
        <f t="shared" si="8"/>
        <v>0</v>
      </c>
      <c r="Q135" s="7"/>
      <c r="R135" s="8"/>
      <c r="S135" s="11"/>
    </row>
    <row r="136" spans="1:19" ht="13.5" customHeight="1" x14ac:dyDescent="0.35">
      <c r="A136" s="3">
        <v>133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>
        <f t="shared" si="6"/>
        <v>0</v>
      </c>
      <c r="N136" s="5" t="str">
        <f t="shared" si="7"/>
        <v/>
      </c>
      <c r="O136" s="3"/>
      <c r="P136" s="6">
        <f t="shared" si="8"/>
        <v>0</v>
      </c>
      <c r="Q136" s="7"/>
      <c r="R136" s="8"/>
      <c r="S136" s="9"/>
    </row>
    <row r="137" spans="1:19" ht="13.5" customHeight="1" x14ac:dyDescent="0.35">
      <c r="A137" s="10">
        <v>134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4">
        <f t="shared" si="6"/>
        <v>0</v>
      </c>
      <c r="N137" s="5" t="str">
        <f t="shared" si="7"/>
        <v/>
      </c>
      <c r="O137" s="10"/>
      <c r="P137" s="6">
        <f t="shared" si="8"/>
        <v>0</v>
      </c>
      <c r="Q137" s="7"/>
      <c r="R137" s="8"/>
      <c r="S137" s="11"/>
    </row>
    <row r="138" spans="1:19" ht="13.5" customHeight="1" x14ac:dyDescent="0.35">
      <c r="A138" s="3">
        <v>135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>
        <f t="shared" si="6"/>
        <v>0</v>
      </c>
      <c r="N138" s="5" t="str">
        <f t="shared" si="7"/>
        <v/>
      </c>
      <c r="O138" s="3"/>
      <c r="P138" s="6">
        <f t="shared" si="8"/>
        <v>0</v>
      </c>
      <c r="Q138" s="7"/>
      <c r="R138" s="8"/>
      <c r="S138" s="9"/>
    </row>
    <row r="139" spans="1:19" ht="13.5" customHeight="1" x14ac:dyDescent="0.35">
      <c r="A139" s="10">
        <v>136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4">
        <f t="shared" si="6"/>
        <v>0</v>
      </c>
      <c r="N139" s="5" t="str">
        <f t="shared" si="7"/>
        <v/>
      </c>
      <c r="O139" s="10"/>
      <c r="P139" s="6">
        <f t="shared" si="8"/>
        <v>0</v>
      </c>
      <c r="Q139" s="7"/>
      <c r="R139" s="8"/>
      <c r="S139" s="11"/>
    </row>
    <row r="140" spans="1:19" ht="13.5" customHeight="1" x14ac:dyDescent="0.35">
      <c r="A140" s="3">
        <v>137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>
        <f t="shared" si="6"/>
        <v>0</v>
      </c>
      <c r="N140" s="5" t="str">
        <f t="shared" si="7"/>
        <v/>
      </c>
      <c r="O140" s="3"/>
      <c r="P140" s="6">
        <f t="shared" si="8"/>
        <v>0</v>
      </c>
      <c r="Q140" s="7"/>
      <c r="R140" s="8"/>
      <c r="S140" s="9"/>
    </row>
    <row r="141" spans="1:19" ht="13.5" customHeight="1" x14ac:dyDescent="0.35">
      <c r="A141" s="10">
        <v>138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4">
        <f t="shared" si="6"/>
        <v>0</v>
      </c>
      <c r="N141" s="5" t="str">
        <f t="shared" si="7"/>
        <v/>
      </c>
      <c r="O141" s="10"/>
      <c r="P141" s="6">
        <f t="shared" si="8"/>
        <v>0</v>
      </c>
      <c r="Q141" s="7"/>
      <c r="R141" s="8"/>
      <c r="S141" s="11"/>
    </row>
    <row r="142" spans="1:19" ht="13.5" customHeight="1" x14ac:dyDescent="0.35">
      <c r="A142" s="3">
        <v>139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>
        <f t="shared" si="6"/>
        <v>0</v>
      </c>
      <c r="N142" s="5" t="str">
        <f t="shared" si="7"/>
        <v/>
      </c>
      <c r="O142" s="3"/>
      <c r="P142" s="6">
        <f t="shared" si="8"/>
        <v>0</v>
      </c>
      <c r="Q142" s="7"/>
      <c r="R142" s="8"/>
      <c r="S142" s="9"/>
    </row>
    <row r="143" spans="1:19" ht="13.5" customHeight="1" x14ac:dyDescent="0.35">
      <c r="A143" s="10">
        <v>140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4">
        <f t="shared" si="6"/>
        <v>0</v>
      </c>
      <c r="N143" s="5" t="str">
        <f t="shared" si="7"/>
        <v/>
      </c>
      <c r="O143" s="10"/>
      <c r="P143" s="6">
        <f t="shared" si="8"/>
        <v>0</v>
      </c>
      <c r="Q143" s="7"/>
      <c r="R143" s="8"/>
      <c r="S143" s="11"/>
    </row>
    <row r="144" spans="1:19" ht="13.5" customHeight="1" x14ac:dyDescent="0.35">
      <c r="A144" s="3">
        <v>141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>
        <f t="shared" si="6"/>
        <v>0</v>
      </c>
      <c r="N144" s="5" t="str">
        <f t="shared" si="7"/>
        <v/>
      </c>
      <c r="O144" s="3"/>
      <c r="P144" s="6">
        <f t="shared" si="8"/>
        <v>0</v>
      </c>
      <c r="Q144" s="7"/>
      <c r="R144" s="8"/>
      <c r="S144" s="9"/>
    </row>
    <row r="145" spans="1:19" ht="13.5" customHeight="1" x14ac:dyDescent="0.35">
      <c r="A145" s="10">
        <v>142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4">
        <f t="shared" si="6"/>
        <v>0</v>
      </c>
      <c r="N145" s="5" t="str">
        <f t="shared" si="7"/>
        <v/>
      </c>
      <c r="O145" s="10"/>
      <c r="P145" s="6">
        <f t="shared" si="8"/>
        <v>0</v>
      </c>
      <c r="Q145" s="7"/>
      <c r="R145" s="8"/>
      <c r="S145" s="11"/>
    </row>
    <row r="146" spans="1:19" ht="13.5" customHeight="1" x14ac:dyDescent="0.35">
      <c r="A146" s="3">
        <v>143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>
        <f t="shared" si="6"/>
        <v>0</v>
      </c>
      <c r="N146" s="5" t="str">
        <f t="shared" si="7"/>
        <v/>
      </c>
      <c r="O146" s="3"/>
      <c r="P146" s="6">
        <f t="shared" si="8"/>
        <v>0</v>
      </c>
      <c r="Q146" s="7"/>
      <c r="R146" s="8"/>
      <c r="S146" s="9"/>
    </row>
    <row r="147" spans="1:19" ht="13.5" customHeight="1" x14ac:dyDescent="0.35">
      <c r="A147" s="10">
        <v>144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4">
        <f t="shared" si="6"/>
        <v>0</v>
      </c>
      <c r="N147" s="5" t="str">
        <f t="shared" si="7"/>
        <v/>
      </c>
      <c r="O147" s="10"/>
      <c r="P147" s="6">
        <f t="shared" si="8"/>
        <v>0</v>
      </c>
      <c r="Q147" s="7"/>
      <c r="R147" s="8"/>
      <c r="S147" s="11"/>
    </row>
    <row r="148" spans="1:19" ht="13.5" customHeight="1" x14ac:dyDescent="0.35">
      <c r="A148" s="3">
        <v>145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>
        <f t="shared" si="6"/>
        <v>0</v>
      </c>
      <c r="N148" s="5" t="str">
        <f t="shared" si="7"/>
        <v/>
      </c>
      <c r="O148" s="3"/>
      <c r="P148" s="6">
        <f t="shared" si="8"/>
        <v>0</v>
      </c>
      <c r="Q148" s="7"/>
      <c r="R148" s="8"/>
      <c r="S148" s="9"/>
    </row>
    <row r="149" spans="1:19" ht="13.5" customHeight="1" x14ac:dyDescent="0.35">
      <c r="A149" s="10">
        <v>146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4">
        <f t="shared" si="6"/>
        <v>0</v>
      </c>
      <c r="N149" s="5" t="str">
        <f t="shared" si="7"/>
        <v/>
      </c>
      <c r="O149" s="10"/>
      <c r="P149" s="6">
        <f t="shared" si="8"/>
        <v>0</v>
      </c>
      <c r="Q149" s="7"/>
      <c r="R149" s="8"/>
      <c r="S149" s="11"/>
    </row>
    <row r="150" spans="1:19" ht="13.5" customHeight="1" x14ac:dyDescent="0.35">
      <c r="A150" s="3">
        <v>147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>
        <f t="shared" si="6"/>
        <v>0</v>
      </c>
      <c r="N150" s="5" t="str">
        <f t="shared" si="7"/>
        <v/>
      </c>
      <c r="O150" s="3"/>
      <c r="P150" s="6">
        <f t="shared" si="8"/>
        <v>0</v>
      </c>
      <c r="Q150" s="7"/>
      <c r="R150" s="8"/>
      <c r="S150" s="9"/>
    </row>
    <row r="151" spans="1:19" ht="13.5" customHeight="1" x14ac:dyDescent="0.35">
      <c r="A151" s="10">
        <v>148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4">
        <f t="shared" si="6"/>
        <v>0</v>
      </c>
      <c r="N151" s="5" t="str">
        <f t="shared" si="7"/>
        <v/>
      </c>
      <c r="O151" s="10"/>
      <c r="P151" s="6">
        <f t="shared" si="8"/>
        <v>0</v>
      </c>
      <c r="Q151" s="7"/>
      <c r="R151" s="8"/>
      <c r="S151" s="11"/>
    </row>
    <row r="152" spans="1:19" ht="13.5" customHeight="1" x14ac:dyDescent="0.35">
      <c r="A152" s="3">
        <v>149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>
        <f t="shared" si="6"/>
        <v>0</v>
      </c>
      <c r="N152" s="5" t="str">
        <f t="shared" si="7"/>
        <v/>
      </c>
      <c r="O152" s="3"/>
      <c r="P152" s="6">
        <f t="shared" si="8"/>
        <v>0</v>
      </c>
      <c r="Q152" s="7"/>
      <c r="R152" s="8"/>
      <c r="S152" s="9"/>
    </row>
    <row r="153" spans="1:19" ht="13.5" customHeight="1" x14ac:dyDescent="0.35">
      <c r="A153" s="10">
        <v>150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4">
        <f t="shared" si="6"/>
        <v>0</v>
      </c>
      <c r="N153" s="5" t="str">
        <f t="shared" si="7"/>
        <v/>
      </c>
      <c r="O153" s="10"/>
      <c r="P153" s="6">
        <f t="shared" si="8"/>
        <v>0</v>
      </c>
      <c r="Q153" s="7"/>
      <c r="R153" s="8"/>
      <c r="S153" s="11"/>
    </row>
    <row r="154" spans="1:19" ht="13.5" customHeight="1" x14ac:dyDescent="0.35">
      <c r="A154" s="3">
        <v>151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>
        <f t="shared" si="6"/>
        <v>0</v>
      </c>
      <c r="N154" s="5" t="str">
        <f t="shared" si="7"/>
        <v/>
      </c>
      <c r="O154" s="3"/>
      <c r="P154" s="6">
        <f t="shared" si="8"/>
        <v>0</v>
      </c>
      <c r="Q154" s="7"/>
      <c r="R154" s="8"/>
      <c r="S154" s="9"/>
    </row>
    <row r="155" spans="1:19" ht="13.5" customHeight="1" x14ac:dyDescent="0.35">
      <c r="A155" s="10">
        <v>152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4">
        <f t="shared" si="6"/>
        <v>0</v>
      </c>
      <c r="N155" s="5" t="str">
        <f t="shared" si="7"/>
        <v/>
      </c>
      <c r="O155" s="10"/>
      <c r="P155" s="6">
        <f t="shared" si="8"/>
        <v>0</v>
      </c>
      <c r="Q155" s="7"/>
      <c r="R155" s="8"/>
      <c r="S155" s="11"/>
    </row>
    <row r="156" spans="1:19" ht="13.5" customHeight="1" x14ac:dyDescent="0.35">
      <c r="A156" s="3">
        <v>153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>
        <f t="shared" si="6"/>
        <v>0</v>
      </c>
      <c r="N156" s="5" t="str">
        <f t="shared" si="7"/>
        <v/>
      </c>
      <c r="O156" s="3"/>
      <c r="P156" s="6">
        <f t="shared" si="8"/>
        <v>0</v>
      </c>
      <c r="Q156" s="7"/>
      <c r="R156" s="8"/>
      <c r="S156" s="9"/>
    </row>
    <row r="157" spans="1:19" ht="13.5" customHeight="1" x14ac:dyDescent="0.35">
      <c r="A157" s="10">
        <v>154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4">
        <f t="shared" si="6"/>
        <v>0</v>
      </c>
      <c r="N157" s="5" t="str">
        <f t="shared" si="7"/>
        <v/>
      </c>
      <c r="O157" s="10"/>
      <c r="P157" s="6">
        <f t="shared" si="8"/>
        <v>0</v>
      </c>
      <c r="Q157" s="7"/>
      <c r="R157" s="8"/>
      <c r="S157" s="11"/>
    </row>
    <row r="158" spans="1:19" ht="13.5" customHeight="1" x14ac:dyDescent="0.35">
      <c r="A158" s="3">
        <v>155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>
        <f t="shared" si="6"/>
        <v>0</v>
      </c>
      <c r="N158" s="5" t="str">
        <f t="shared" si="7"/>
        <v/>
      </c>
      <c r="O158" s="3"/>
      <c r="P158" s="6">
        <f t="shared" si="8"/>
        <v>0</v>
      </c>
      <c r="Q158" s="7"/>
      <c r="R158" s="8"/>
      <c r="S158" s="9"/>
    </row>
    <row r="159" spans="1:19" ht="13.5" customHeight="1" x14ac:dyDescent="0.35">
      <c r="A159" s="10">
        <v>156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4">
        <f t="shared" si="6"/>
        <v>0</v>
      </c>
      <c r="N159" s="5" t="str">
        <f t="shared" si="7"/>
        <v/>
      </c>
      <c r="O159" s="10"/>
      <c r="P159" s="6">
        <f t="shared" si="8"/>
        <v>0</v>
      </c>
      <c r="Q159" s="7"/>
      <c r="R159" s="8"/>
      <c r="S159" s="11"/>
    </row>
    <row r="160" spans="1:19" ht="13.5" customHeight="1" x14ac:dyDescent="0.35">
      <c r="A160" s="3">
        <v>157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>
        <f t="shared" si="6"/>
        <v>0</v>
      </c>
      <c r="N160" s="5" t="str">
        <f t="shared" si="7"/>
        <v/>
      </c>
      <c r="O160" s="3"/>
      <c r="P160" s="6">
        <f t="shared" si="8"/>
        <v>0</v>
      </c>
      <c r="Q160" s="7"/>
      <c r="R160" s="8"/>
      <c r="S160" s="9"/>
    </row>
    <row r="161" spans="1:19" ht="13.5" customHeight="1" x14ac:dyDescent="0.35">
      <c r="A161" s="10">
        <v>158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4">
        <f t="shared" si="6"/>
        <v>0</v>
      </c>
      <c r="N161" s="5" t="str">
        <f t="shared" si="7"/>
        <v/>
      </c>
      <c r="O161" s="10"/>
      <c r="P161" s="6">
        <f t="shared" si="8"/>
        <v>0</v>
      </c>
      <c r="Q161" s="7"/>
      <c r="R161" s="8"/>
      <c r="S161" s="11"/>
    </row>
    <row r="162" spans="1:19" ht="13.5" customHeight="1" x14ac:dyDescent="0.35">
      <c r="A162" s="3">
        <v>159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>
        <f t="shared" si="6"/>
        <v>0</v>
      </c>
      <c r="N162" s="5" t="str">
        <f t="shared" si="7"/>
        <v/>
      </c>
      <c r="O162" s="3"/>
      <c r="P162" s="6">
        <f t="shared" si="8"/>
        <v>0</v>
      </c>
      <c r="Q162" s="7"/>
      <c r="R162" s="8"/>
      <c r="S162" s="9"/>
    </row>
    <row r="163" spans="1:19" ht="13.5" customHeight="1" x14ac:dyDescent="0.35">
      <c r="A163" s="10">
        <v>160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4">
        <f t="shared" si="6"/>
        <v>0</v>
      </c>
      <c r="N163" s="5" t="str">
        <f t="shared" si="7"/>
        <v/>
      </c>
      <c r="O163" s="10"/>
      <c r="P163" s="6">
        <f t="shared" si="8"/>
        <v>0</v>
      </c>
      <c r="Q163" s="7"/>
      <c r="R163" s="8"/>
      <c r="S163" s="11"/>
    </row>
    <row r="164" spans="1:19" ht="13.5" customHeight="1" x14ac:dyDescent="0.35">
      <c r="A164" s="3">
        <v>161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>
        <f t="shared" si="6"/>
        <v>0</v>
      </c>
      <c r="N164" s="5" t="str">
        <f t="shared" si="7"/>
        <v/>
      </c>
      <c r="O164" s="3"/>
      <c r="P164" s="6">
        <f t="shared" si="8"/>
        <v>0</v>
      </c>
      <c r="Q164" s="7"/>
      <c r="R164" s="8"/>
      <c r="S164" s="9"/>
    </row>
    <row r="165" spans="1:19" ht="13.5" customHeight="1" x14ac:dyDescent="0.35">
      <c r="A165" s="10">
        <v>162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4">
        <f t="shared" si="6"/>
        <v>0</v>
      </c>
      <c r="N165" s="5" t="str">
        <f t="shared" si="7"/>
        <v/>
      </c>
      <c r="O165" s="10"/>
      <c r="P165" s="6">
        <f t="shared" si="8"/>
        <v>0</v>
      </c>
      <c r="Q165" s="7"/>
      <c r="R165" s="8"/>
      <c r="S165" s="11"/>
    </row>
    <row r="166" spans="1:19" ht="13.5" customHeight="1" x14ac:dyDescent="0.35">
      <c r="A166" s="3">
        <v>163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>
        <f t="shared" si="6"/>
        <v>0</v>
      </c>
      <c r="N166" s="5" t="str">
        <f t="shared" si="7"/>
        <v/>
      </c>
      <c r="O166" s="3"/>
      <c r="P166" s="6">
        <f t="shared" si="8"/>
        <v>0</v>
      </c>
      <c r="Q166" s="7"/>
      <c r="R166" s="8"/>
      <c r="S166" s="9"/>
    </row>
    <row r="167" spans="1:19" ht="13.5" customHeight="1" x14ac:dyDescent="0.35">
      <c r="A167" s="10">
        <v>164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4">
        <f t="shared" si="6"/>
        <v>0</v>
      </c>
      <c r="N167" s="5" t="str">
        <f t="shared" si="7"/>
        <v/>
      </c>
      <c r="O167" s="10"/>
      <c r="P167" s="6">
        <f t="shared" si="8"/>
        <v>0</v>
      </c>
      <c r="Q167" s="7"/>
      <c r="R167" s="8"/>
      <c r="S167" s="11"/>
    </row>
    <row r="168" spans="1:19" ht="13.5" customHeight="1" x14ac:dyDescent="0.35">
      <c r="A168" s="3">
        <v>165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>
        <f t="shared" si="6"/>
        <v>0</v>
      </c>
      <c r="N168" s="5" t="str">
        <f t="shared" si="7"/>
        <v/>
      </c>
      <c r="O168" s="3"/>
      <c r="P168" s="6">
        <f t="shared" si="8"/>
        <v>0</v>
      </c>
      <c r="Q168" s="7"/>
      <c r="R168" s="8"/>
      <c r="S168" s="9"/>
    </row>
    <row r="169" spans="1:19" ht="13.5" customHeight="1" x14ac:dyDescent="0.35">
      <c r="A169" s="10">
        <v>166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4">
        <f t="shared" si="6"/>
        <v>0</v>
      </c>
      <c r="N169" s="5" t="str">
        <f t="shared" si="7"/>
        <v/>
      </c>
      <c r="O169" s="10"/>
      <c r="P169" s="6">
        <f t="shared" si="8"/>
        <v>0</v>
      </c>
      <c r="Q169" s="7"/>
      <c r="R169" s="8"/>
      <c r="S169" s="11"/>
    </row>
    <row r="170" spans="1:19" ht="13.5" customHeight="1" x14ac:dyDescent="0.35">
      <c r="A170" s="3">
        <v>167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>
        <f t="shared" si="6"/>
        <v>0</v>
      </c>
      <c r="N170" s="5" t="str">
        <f t="shared" si="7"/>
        <v/>
      </c>
      <c r="O170" s="3"/>
      <c r="P170" s="6">
        <f t="shared" si="8"/>
        <v>0</v>
      </c>
      <c r="Q170" s="7"/>
      <c r="R170" s="8"/>
      <c r="S170" s="9"/>
    </row>
    <row r="171" spans="1:19" ht="13.5" customHeight="1" x14ac:dyDescent="0.35">
      <c r="A171" s="10">
        <v>168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4">
        <f t="shared" si="6"/>
        <v>0</v>
      </c>
      <c r="N171" s="5" t="str">
        <f t="shared" si="7"/>
        <v/>
      </c>
      <c r="O171" s="10"/>
      <c r="P171" s="6">
        <f t="shared" si="8"/>
        <v>0</v>
      </c>
      <c r="Q171" s="7"/>
      <c r="R171" s="8"/>
      <c r="S171" s="11"/>
    </row>
    <row r="172" spans="1:19" ht="13.5" customHeight="1" x14ac:dyDescent="0.35">
      <c r="A172" s="3">
        <v>169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>
        <f t="shared" si="6"/>
        <v>0</v>
      </c>
      <c r="N172" s="5" t="str">
        <f t="shared" si="7"/>
        <v/>
      </c>
      <c r="O172" s="3"/>
      <c r="P172" s="6">
        <f t="shared" si="8"/>
        <v>0</v>
      </c>
      <c r="Q172" s="7"/>
      <c r="R172" s="8"/>
      <c r="S172" s="9"/>
    </row>
    <row r="173" spans="1:19" ht="13.5" customHeight="1" x14ac:dyDescent="0.35">
      <c r="A173" s="10">
        <v>170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4">
        <f t="shared" si="6"/>
        <v>0</v>
      </c>
      <c r="N173" s="5" t="str">
        <f t="shared" si="7"/>
        <v/>
      </c>
      <c r="O173" s="10"/>
      <c r="P173" s="6">
        <f t="shared" si="8"/>
        <v>0</v>
      </c>
      <c r="Q173" s="7"/>
      <c r="R173" s="8"/>
      <c r="S173" s="11"/>
    </row>
    <row r="174" spans="1:19" ht="13.5" customHeight="1" x14ac:dyDescent="0.35">
      <c r="A174" s="3">
        <v>171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>
        <f t="shared" si="6"/>
        <v>0</v>
      </c>
      <c r="N174" s="5" t="str">
        <f t="shared" si="7"/>
        <v/>
      </c>
      <c r="O174" s="3"/>
      <c r="P174" s="6">
        <f t="shared" si="8"/>
        <v>0</v>
      </c>
      <c r="Q174" s="7"/>
      <c r="R174" s="8"/>
      <c r="S174" s="9"/>
    </row>
    <row r="175" spans="1:19" ht="13.5" customHeight="1" x14ac:dyDescent="0.35">
      <c r="A175" s="10">
        <v>172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4">
        <f t="shared" si="6"/>
        <v>0</v>
      </c>
      <c r="N175" s="5" t="str">
        <f t="shared" si="7"/>
        <v/>
      </c>
      <c r="O175" s="10"/>
      <c r="P175" s="6">
        <f t="shared" si="8"/>
        <v>0</v>
      </c>
      <c r="Q175" s="7"/>
      <c r="R175" s="8"/>
      <c r="S175" s="11"/>
    </row>
    <row r="176" spans="1:19" ht="13.5" customHeight="1" x14ac:dyDescent="0.35">
      <c r="A176" s="3">
        <v>173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>
        <f t="shared" si="6"/>
        <v>0</v>
      </c>
      <c r="N176" s="5" t="str">
        <f t="shared" si="7"/>
        <v/>
      </c>
      <c r="O176" s="3"/>
      <c r="P176" s="6">
        <f t="shared" si="8"/>
        <v>0</v>
      </c>
      <c r="Q176" s="7"/>
      <c r="R176" s="8"/>
      <c r="S176" s="9"/>
    </row>
    <row r="177" spans="1:19" ht="13.5" customHeight="1" x14ac:dyDescent="0.35">
      <c r="A177" s="10">
        <v>174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4">
        <f t="shared" si="6"/>
        <v>0</v>
      </c>
      <c r="N177" s="5" t="str">
        <f t="shared" si="7"/>
        <v/>
      </c>
      <c r="O177" s="10"/>
      <c r="P177" s="6">
        <f t="shared" si="8"/>
        <v>0</v>
      </c>
      <c r="Q177" s="7"/>
      <c r="R177" s="8"/>
      <c r="S177" s="11"/>
    </row>
    <row r="178" spans="1:19" ht="13.5" customHeight="1" x14ac:dyDescent="0.35">
      <c r="A178" s="3">
        <v>175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>
        <f t="shared" si="6"/>
        <v>0</v>
      </c>
      <c r="N178" s="5" t="str">
        <f t="shared" si="7"/>
        <v/>
      </c>
      <c r="O178" s="3"/>
      <c r="P178" s="6">
        <f t="shared" si="8"/>
        <v>0</v>
      </c>
      <c r="Q178" s="7"/>
      <c r="R178" s="8"/>
      <c r="S178" s="9"/>
    </row>
    <row r="179" spans="1:19" ht="13.5" customHeight="1" x14ac:dyDescent="0.35">
      <c r="A179" s="10">
        <v>176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4">
        <f t="shared" si="6"/>
        <v>0</v>
      </c>
      <c r="N179" s="5" t="str">
        <f t="shared" si="7"/>
        <v/>
      </c>
      <c r="O179" s="10"/>
      <c r="P179" s="6">
        <f t="shared" si="8"/>
        <v>0</v>
      </c>
      <c r="Q179" s="7"/>
      <c r="R179" s="8"/>
      <c r="S179" s="11"/>
    </row>
    <row r="180" spans="1:19" ht="13.5" customHeight="1" x14ac:dyDescent="0.35">
      <c r="A180" s="3">
        <v>177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>
        <f t="shared" si="6"/>
        <v>0</v>
      </c>
      <c r="N180" s="5" t="str">
        <f t="shared" si="7"/>
        <v/>
      </c>
      <c r="O180" s="3"/>
      <c r="P180" s="6">
        <f t="shared" si="8"/>
        <v>0</v>
      </c>
      <c r="Q180" s="7"/>
      <c r="R180" s="8"/>
      <c r="S180" s="9"/>
    </row>
    <row r="181" spans="1:19" ht="13.5" customHeight="1" x14ac:dyDescent="0.35">
      <c r="A181" s="10">
        <v>178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4">
        <f t="shared" si="6"/>
        <v>0</v>
      </c>
      <c r="N181" s="5" t="str">
        <f t="shared" si="7"/>
        <v/>
      </c>
      <c r="O181" s="10"/>
      <c r="P181" s="6">
        <f t="shared" si="8"/>
        <v>0</v>
      </c>
      <c r="Q181" s="7"/>
      <c r="R181" s="8"/>
      <c r="S181" s="11"/>
    </row>
    <row r="182" spans="1:19" ht="13.5" customHeight="1" x14ac:dyDescent="0.35">
      <c r="A182" s="3">
        <v>179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>
        <f t="shared" si="6"/>
        <v>0</v>
      </c>
      <c r="N182" s="5" t="str">
        <f t="shared" si="7"/>
        <v/>
      </c>
      <c r="O182" s="3"/>
      <c r="P182" s="6">
        <f t="shared" si="8"/>
        <v>0</v>
      </c>
      <c r="Q182" s="7"/>
      <c r="R182" s="8"/>
      <c r="S182" s="9"/>
    </row>
    <row r="183" spans="1:19" ht="13.5" customHeight="1" x14ac:dyDescent="0.35">
      <c r="A183" s="10">
        <v>180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4">
        <f t="shared" si="6"/>
        <v>0</v>
      </c>
      <c r="N183" s="5" t="str">
        <f t="shared" si="7"/>
        <v/>
      </c>
      <c r="O183" s="10"/>
      <c r="P183" s="6">
        <f t="shared" si="8"/>
        <v>0</v>
      </c>
      <c r="Q183" s="7"/>
      <c r="R183" s="8"/>
      <c r="S183" s="11"/>
    </row>
    <row r="184" spans="1:19" ht="13.5" customHeight="1" x14ac:dyDescent="0.35">
      <c r="A184" s="3">
        <v>181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>
        <f t="shared" si="6"/>
        <v>0</v>
      </c>
      <c r="N184" s="5" t="str">
        <f t="shared" si="7"/>
        <v/>
      </c>
      <c r="O184" s="3"/>
      <c r="P184" s="6">
        <f t="shared" si="8"/>
        <v>0</v>
      </c>
      <c r="Q184" s="7"/>
      <c r="R184" s="8"/>
      <c r="S184" s="9"/>
    </row>
    <row r="185" spans="1:19" ht="13.5" customHeight="1" x14ac:dyDescent="0.35">
      <c r="A185" s="10">
        <v>182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4">
        <f t="shared" si="6"/>
        <v>0</v>
      </c>
      <c r="N185" s="5" t="str">
        <f t="shared" si="7"/>
        <v/>
      </c>
      <c r="O185" s="10"/>
      <c r="P185" s="6">
        <f t="shared" si="8"/>
        <v>0</v>
      </c>
      <c r="Q185" s="7"/>
      <c r="R185" s="8"/>
      <c r="S185" s="11"/>
    </row>
    <row r="186" spans="1:19" ht="13.5" customHeight="1" x14ac:dyDescent="0.35">
      <c r="A186" s="3">
        <v>183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>
        <f t="shared" si="6"/>
        <v>0</v>
      </c>
      <c r="N186" s="5" t="str">
        <f t="shared" si="7"/>
        <v/>
      </c>
      <c r="O186" s="3"/>
      <c r="P186" s="6">
        <f t="shared" si="8"/>
        <v>0</v>
      </c>
      <c r="Q186" s="7"/>
      <c r="R186" s="8"/>
      <c r="S186" s="9"/>
    </row>
    <row r="187" spans="1:19" ht="13.5" customHeight="1" x14ac:dyDescent="0.35">
      <c r="A187" s="10">
        <v>184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4">
        <f t="shared" si="6"/>
        <v>0</v>
      </c>
      <c r="N187" s="5" t="str">
        <f t="shared" si="7"/>
        <v/>
      </c>
      <c r="O187" s="10"/>
      <c r="P187" s="6">
        <f t="shared" si="8"/>
        <v>0</v>
      </c>
      <c r="Q187" s="7"/>
      <c r="R187" s="8"/>
      <c r="S187" s="11"/>
    </row>
    <row r="188" spans="1:19" ht="13.5" customHeight="1" x14ac:dyDescent="0.35">
      <c r="A188" s="3">
        <v>185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>
        <f t="shared" si="6"/>
        <v>0</v>
      </c>
      <c r="N188" s="5" t="str">
        <f t="shared" si="7"/>
        <v/>
      </c>
      <c r="O188" s="3"/>
      <c r="P188" s="6">
        <f t="shared" si="8"/>
        <v>0</v>
      </c>
      <c r="Q188" s="7"/>
      <c r="R188" s="8"/>
      <c r="S188" s="9"/>
    </row>
    <row r="189" spans="1:19" ht="13.5" customHeight="1" x14ac:dyDescent="0.35">
      <c r="A189" s="10">
        <v>186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4">
        <f t="shared" si="6"/>
        <v>0</v>
      </c>
      <c r="N189" s="5" t="str">
        <f t="shared" si="7"/>
        <v/>
      </c>
      <c r="O189" s="10"/>
      <c r="P189" s="6">
        <f t="shared" si="8"/>
        <v>0</v>
      </c>
      <c r="Q189" s="7"/>
      <c r="R189" s="8"/>
      <c r="S189" s="11"/>
    </row>
    <row r="190" spans="1:19" ht="13.5" customHeight="1" x14ac:dyDescent="0.35">
      <c r="A190" s="3">
        <v>187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>
        <f t="shared" si="6"/>
        <v>0</v>
      </c>
      <c r="N190" s="5" t="str">
        <f t="shared" si="7"/>
        <v/>
      </c>
      <c r="O190" s="3"/>
      <c r="P190" s="6">
        <f t="shared" si="8"/>
        <v>0</v>
      </c>
      <c r="Q190" s="7"/>
      <c r="R190" s="8"/>
      <c r="S190" s="9"/>
    </row>
    <row r="191" spans="1:19" ht="13.5" customHeight="1" x14ac:dyDescent="0.35">
      <c r="A191" s="10">
        <v>188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4">
        <f t="shared" si="6"/>
        <v>0</v>
      </c>
      <c r="N191" s="5" t="str">
        <f t="shared" si="7"/>
        <v/>
      </c>
      <c r="O191" s="10"/>
      <c r="P191" s="6">
        <f t="shared" si="8"/>
        <v>0</v>
      </c>
      <c r="Q191" s="7"/>
      <c r="R191" s="8"/>
      <c r="S191" s="11"/>
    </row>
    <row r="192" spans="1:19" ht="13.5" customHeight="1" x14ac:dyDescent="0.35">
      <c r="A192" s="3">
        <v>189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>
        <f t="shared" si="6"/>
        <v>0</v>
      </c>
      <c r="N192" s="5" t="str">
        <f t="shared" si="7"/>
        <v/>
      </c>
      <c r="O192" s="3"/>
      <c r="P192" s="6">
        <f t="shared" si="8"/>
        <v>0</v>
      </c>
      <c r="Q192" s="7"/>
      <c r="R192" s="8"/>
      <c r="S192" s="9"/>
    </row>
    <row r="193" spans="1:19" ht="13.5" customHeight="1" x14ac:dyDescent="0.35">
      <c r="A193" s="10">
        <v>190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4">
        <f t="shared" si="6"/>
        <v>0</v>
      </c>
      <c r="N193" s="5" t="str">
        <f t="shared" si="7"/>
        <v/>
      </c>
      <c r="O193" s="10"/>
      <c r="P193" s="6">
        <f t="shared" si="8"/>
        <v>0</v>
      </c>
      <c r="Q193" s="7"/>
      <c r="R193" s="8"/>
      <c r="S193" s="11"/>
    </row>
    <row r="194" spans="1:19" ht="13.5" customHeight="1" x14ac:dyDescent="0.35">
      <c r="A194" s="3">
        <v>191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>
        <f t="shared" si="6"/>
        <v>0</v>
      </c>
      <c r="N194" s="5" t="str">
        <f t="shared" si="7"/>
        <v/>
      </c>
      <c r="O194" s="3"/>
      <c r="P194" s="6">
        <f t="shared" si="8"/>
        <v>0</v>
      </c>
      <c r="Q194" s="7"/>
      <c r="R194" s="8"/>
      <c r="S194" s="9"/>
    </row>
    <row r="195" spans="1:19" ht="13.5" customHeight="1" x14ac:dyDescent="0.35">
      <c r="A195" s="10">
        <v>192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4">
        <f t="shared" si="6"/>
        <v>0</v>
      </c>
      <c r="N195" s="5" t="str">
        <f t="shared" si="7"/>
        <v/>
      </c>
      <c r="O195" s="10"/>
      <c r="P195" s="6">
        <f t="shared" si="8"/>
        <v>0</v>
      </c>
      <c r="Q195" s="7"/>
      <c r="R195" s="8"/>
      <c r="S195" s="11"/>
    </row>
    <row r="196" spans="1:19" ht="13.5" customHeight="1" x14ac:dyDescent="0.35">
      <c r="A196" s="3">
        <v>193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>
        <f t="shared" ref="M196:M259" si="9">IFERROR(K196-L196,"")</f>
        <v>0</v>
      </c>
      <c r="N196" s="5" t="str">
        <f t="shared" ref="N196:N259" si="10">IFERROR(L196/K196,"")</f>
        <v/>
      </c>
      <c r="O196" s="3"/>
      <c r="P196" s="6">
        <f t="shared" ref="P196:P259" si="11">IFERROR(L196*O196,"")</f>
        <v>0</v>
      </c>
      <c r="Q196" s="7"/>
      <c r="R196" s="8"/>
      <c r="S196" s="9"/>
    </row>
    <row r="197" spans="1:19" ht="13.5" customHeight="1" x14ac:dyDescent="0.35">
      <c r="A197" s="10">
        <v>194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4">
        <f t="shared" si="9"/>
        <v>0</v>
      </c>
      <c r="N197" s="5" t="str">
        <f t="shared" si="10"/>
        <v/>
      </c>
      <c r="O197" s="10"/>
      <c r="P197" s="6">
        <f t="shared" si="11"/>
        <v>0</v>
      </c>
      <c r="Q197" s="7"/>
      <c r="R197" s="8"/>
      <c r="S197" s="11"/>
    </row>
    <row r="198" spans="1:19" ht="13.5" customHeight="1" x14ac:dyDescent="0.35">
      <c r="A198" s="3">
        <v>195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>
        <f t="shared" si="9"/>
        <v>0</v>
      </c>
      <c r="N198" s="5" t="str">
        <f t="shared" si="10"/>
        <v/>
      </c>
      <c r="O198" s="3"/>
      <c r="P198" s="6">
        <f t="shared" si="11"/>
        <v>0</v>
      </c>
      <c r="Q198" s="7"/>
      <c r="R198" s="8"/>
      <c r="S198" s="9"/>
    </row>
    <row r="199" spans="1:19" ht="13.5" customHeight="1" x14ac:dyDescent="0.35">
      <c r="A199" s="10">
        <v>196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4">
        <f t="shared" si="9"/>
        <v>0</v>
      </c>
      <c r="N199" s="5" t="str">
        <f t="shared" si="10"/>
        <v/>
      </c>
      <c r="O199" s="10"/>
      <c r="P199" s="6">
        <f t="shared" si="11"/>
        <v>0</v>
      </c>
      <c r="Q199" s="7"/>
      <c r="R199" s="8"/>
      <c r="S199" s="11"/>
    </row>
    <row r="200" spans="1:19" ht="13.5" customHeight="1" x14ac:dyDescent="0.35">
      <c r="A200" s="3">
        <v>197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>
        <f t="shared" si="9"/>
        <v>0</v>
      </c>
      <c r="N200" s="5" t="str">
        <f t="shared" si="10"/>
        <v/>
      </c>
      <c r="O200" s="3"/>
      <c r="P200" s="6">
        <f t="shared" si="11"/>
        <v>0</v>
      </c>
      <c r="Q200" s="7"/>
      <c r="R200" s="8"/>
      <c r="S200" s="9"/>
    </row>
    <row r="201" spans="1:19" ht="13.5" customHeight="1" x14ac:dyDescent="0.35">
      <c r="A201" s="10">
        <v>198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4">
        <f t="shared" si="9"/>
        <v>0</v>
      </c>
      <c r="N201" s="5" t="str">
        <f t="shared" si="10"/>
        <v/>
      </c>
      <c r="O201" s="10"/>
      <c r="P201" s="6">
        <f t="shared" si="11"/>
        <v>0</v>
      </c>
      <c r="Q201" s="7"/>
      <c r="R201" s="8"/>
      <c r="S201" s="11"/>
    </row>
    <row r="202" spans="1:19" ht="13.5" customHeight="1" x14ac:dyDescent="0.35">
      <c r="A202" s="3">
        <v>199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>
        <f t="shared" si="9"/>
        <v>0</v>
      </c>
      <c r="N202" s="5" t="str">
        <f t="shared" si="10"/>
        <v/>
      </c>
      <c r="O202" s="3"/>
      <c r="P202" s="6">
        <f t="shared" si="11"/>
        <v>0</v>
      </c>
      <c r="Q202" s="7"/>
      <c r="R202" s="8"/>
      <c r="S202" s="9"/>
    </row>
    <row r="203" spans="1:19" ht="13.5" customHeight="1" x14ac:dyDescent="0.35">
      <c r="A203" s="10">
        <v>200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4">
        <f t="shared" si="9"/>
        <v>0</v>
      </c>
      <c r="N203" s="5" t="str">
        <f t="shared" si="10"/>
        <v/>
      </c>
      <c r="O203" s="10"/>
      <c r="P203" s="6">
        <f t="shared" si="11"/>
        <v>0</v>
      </c>
      <c r="Q203" s="7"/>
      <c r="R203" s="8"/>
      <c r="S203" s="11"/>
    </row>
    <row r="204" spans="1:19" ht="13.5" customHeight="1" x14ac:dyDescent="0.35">
      <c r="A204" s="3">
        <v>201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>
        <f t="shared" si="9"/>
        <v>0</v>
      </c>
      <c r="N204" s="5" t="str">
        <f t="shared" si="10"/>
        <v/>
      </c>
      <c r="O204" s="3"/>
      <c r="P204" s="6">
        <f t="shared" si="11"/>
        <v>0</v>
      </c>
      <c r="Q204" s="7"/>
      <c r="R204" s="8"/>
      <c r="S204" s="9"/>
    </row>
    <row r="205" spans="1:19" ht="13.5" customHeight="1" x14ac:dyDescent="0.35">
      <c r="A205" s="10">
        <v>202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4">
        <f t="shared" si="9"/>
        <v>0</v>
      </c>
      <c r="N205" s="5" t="str">
        <f t="shared" si="10"/>
        <v/>
      </c>
      <c r="O205" s="10"/>
      <c r="P205" s="6">
        <f t="shared" si="11"/>
        <v>0</v>
      </c>
      <c r="Q205" s="7"/>
      <c r="R205" s="8"/>
      <c r="S205" s="11"/>
    </row>
    <row r="206" spans="1:19" ht="13.5" customHeight="1" x14ac:dyDescent="0.35">
      <c r="A206" s="3">
        <v>203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>
        <f t="shared" si="9"/>
        <v>0</v>
      </c>
      <c r="N206" s="5" t="str">
        <f t="shared" si="10"/>
        <v/>
      </c>
      <c r="O206" s="3"/>
      <c r="P206" s="6">
        <f t="shared" si="11"/>
        <v>0</v>
      </c>
      <c r="Q206" s="7"/>
      <c r="R206" s="8"/>
      <c r="S206" s="9"/>
    </row>
    <row r="207" spans="1:19" ht="13.5" customHeight="1" x14ac:dyDescent="0.35">
      <c r="A207" s="10">
        <v>204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4">
        <f t="shared" si="9"/>
        <v>0</v>
      </c>
      <c r="N207" s="5" t="str">
        <f t="shared" si="10"/>
        <v/>
      </c>
      <c r="O207" s="10"/>
      <c r="P207" s="6">
        <f t="shared" si="11"/>
        <v>0</v>
      </c>
      <c r="Q207" s="7"/>
      <c r="R207" s="8"/>
      <c r="S207" s="11"/>
    </row>
    <row r="208" spans="1:19" ht="13.5" customHeight="1" x14ac:dyDescent="0.35">
      <c r="A208" s="3">
        <v>205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>
        <f t="shared" si="9"/>
        <v>0</v>
      </c>
      <c r="N208" s="5" t="str">
        <f t="shared" si="10"/>
        <v/>
      </c>
      <c r="O208" s="3"/>
      <c r="P208" s="6">
        <f t="shared" si="11"/>
        <v>0</v>
      </c>
      <c r="Q208" s="7"/>
      <c r="R208" s="8"/>
      <c r="S208" s="9"/>
    </row>
    <row r="209" spans="1:19" ht="13.5" customHeight="1" x14ac:dyDescent="0.35">
      <c r="A209" s="10">
        <v>206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4">
        <f t="shared" si="9"/>
        <v>0</v>
      </c>
      <c r="N209" s="5" t="str">
        <f t="shared" si="10"/>
        <v/>
      </c>
      <c r="O209" s="10"/>
      <c r="P209" s="6">
        <f t="shared" si="11"/>
        <v>0</v>
      </c>
      <c r="Q209" s="7"/>
      <c r="R209" s="8"/>
      <c r="S209" s="11"/>
    </row>
    <row r="210" spans="1:19" ht="13.5" customHeight="1" x14ac:dyDescent="0.35">
      <c r="A210" s="3">
        <v>207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>
        <f t="shared" si="9"/>
        <v>0</v>
      </c>
      <c r="N210" s="5" t="str">
        <f t="shared" si="10"/>
        <v/>
      </c>
      <c r="O210" s="3"/>
      <c r="P210" s="6">
        <f t="shared" si="11"/>
        <v>0</v>
      </c>
      <c r="Q210" s="7"/>
      <c r="R210" s="8"/>
      <c r="S210" s="9"/>
    </row>
    <row r="211" spans="1:19" ht="13.5" customHeight="1" x14ac:dyDescent="0.35">
      <c r="A211" s="10">
        <v>208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4">
        <f t="shared" si="9"/>
        <v>0</v>
      </c>
      <c r="N211" s="5" t="str">
        <f t="shared" si="10"/>
        <v/>
      </c>
      <c r="O211" s="10"/>
      <c r="P211" s="6">
        <f t="shared" si="11"/>
        <v>0</v>
      </c>
      <c r="Q211" s="7"/>
      <c r="R211" s="8"/>
      <c r="S211" s="11"/>
    </row>
    <row r="212" spans="1:19" ht="13.5" customHeight="1" x14ac:dyDescent="0.35">
      <c r="A212" s="3">
        <v>209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>
        <f t="shared" si="9"/>
        <v>0</v>
      </c>
      <c r="N212" s="5" t="str">
        <f t="shared" si="10"/>
        <v/>
      </c>
      <c r="O212" s="3"/>
      <c r="P212" s="6">
        <f t="shared" si="11"/>
        <v>0</v>
      </c>
      <c r="Q212" s="7"/>
      <c r="R212" s="8"/>
      <c r="S212" s="9"/>
    </row>
    <row r="213" spans="1:19" ht="13.5" customHeight="1" x14ac:dyDescent="0.35">
      <c r="A213" s="10">
        <v>210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4">
        <f t="shared" si="9"/>
        <v>0</v>
      </c>
      <c r="N213" s="5" t="str">
        <f t="shared" si="10"/>
        <v/>
      </c>
      <c r="O213" s="10"/>
      <c r="P213" s="6">
        <f t="shared" si="11"/>
        <v>0</v>
      </c>
      <c r="Q213" s="7"/>
      <c r="R213" s="8"/>
      <c r="S213" s="11"/>
    </row>
    <row r="214" spans="1:19" ht="13.5" customHeight="1" x14ac:dyDescent="0.35">
      <c r="A214" s="3">
        <v>211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>
        <f t="shared" si="9"/>
        <v>0</v>
      </c>
      <c r="N214" s="5" t="str">
        <f t="shared" si="10"/>
        <v/>
      </c>
      <c r="O214" s="3"/>
      <c r="P214" s="6">
        <f t="shared" si="11"/>
        <v>0</v>
      </c>
      <c r="Q214" s="7"/>
      <c r="R214" s="8"/>
      <c r="S214" s="9"/>
    </row>
    <row r="215" spans="1:19" ht="13.5" customHeight="1" x14ac:dyDescent="0.35">
      <c r="A215" s="10">
        <v>212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4">
        <f t="shared" si="9"/>
        <v>0</v>
      </c>
      <c r="N215" s="5" t="str">
        <f t="shared" si="10"/>
        <v/>
      </c>
      <c r="O215" s="10"/>
      <c r="P215" s="6">
        <f t="shared" si="11"/>
        <v>0</v>
      </c>
      <c r="Q215" s="7"/>
      <c r="R215" s="8"/>
      <c r="S215" s="11"/>
    </row>
    <row r="216" spans="1:19" ht="13.5" customHeight="1" x14ac:dyDescent="0.35">
      <c r="A216" s="3">
        <v>213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>
        <f t="shared" si="9"/>
        <v>0</v>
      </c>
      <c r="N216" s="5" t="str">
        <f t="shared" si="10"/>
        <v/>
      </c>
      <c r="O216" s="3"/>
      <c r="P216" s="6">
        <f t="shared" si="11"/>
        <v>0</v>
      </c>
      <c r="Q216" s="7"/>
      <c r="R216" s="8"/>
      <c r="S216" s="9"/>
    </row>
    <row r="217" spans="1:19" ht="13.5" customHeight="1" x14ac:dyDescent="0.35">
      <c r="A217" s="10">
        <v>214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4">
        <f t="shared" si="9"/>
        <v>0</v>
      </c>
      <c r="N217" s="5" t="str">
        <f t="shared" si="10"/>
        <v/>
      </c>
      <c r="O217" s="10"/>
      <c r="P217" s="6">
        <f t="shared" si="11"/>
        <v>0</v>
      </c>
      <c r="Q217" s="7"/>
      <c r="R217" s="8"/>
      <c r="S217" s="11"/>
    </row>
    <row r="218" spans="1:19" ht="13.5" customHeight="1" x14ac:dyDescent="0.35">
      <c r="A218" s="3">
        <v>215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>
        <f t="shared" si="9"/>
        <v>0</v>
      </c>
      <c r="N218" s="5" t="str">
        <f t="shared" si="10"/>
        <v/>
      </c>
      <c r="O218" s="3"/>
      <c r="P218" s="6">
        <f t="shared" si="11"/>
        <v>0</v>
      </c>
      <c r="Q218" s="7"/>
      <c r="R218" s="8"/>
      <c r="S218" s="9"/>
    </row>
    <row r="219" spans="1:19" ht="13.5" customHeight="1" x14ac:dyDescent="0.35">
      <c r="A219" s="10">
        <v>216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4">
        <f t="shared" si="9"/>
        <v>0</v>
      </c>
      <c r="N219" s="5" t="str">
        <f t="shared" si="10"/>
        <v/>
      </c>
      <c r="O219" s="10"/>
      <c r="P219" s="6">
        <f t="shared" si="11"/>
        <v>0</v>
      </c>
      <c r="Q219" s="7"/>
      <c r="R219" s="8"/>
      <c r="S219" s="11"/>
    </row>
    <row r="220" spans="1:19" ht="13.5" customHeight="1" x14ac:dyDescent="0.35">
      <c r="A220" s="3">
        <v>217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>
        <f t="shared" si="9"/>
        <v>0</v>
      </c>
      <c r="N220" s="5" t="str">
        <f t="shared" si="10"/>
        <v/>
      </c>
      <c r="O220" s="3"/>
      <c r="P220" s="6">
        <f t="shared" si="11"/>
        <v>0</v>
      </c>
      <c r="Q220" s="7"/>
      <c r="R220" s="8"/>
      <c r="S220" s="9"/>
    </row>
    <row r="221" spans="1:19" ht="13.5" customHeight="1" x14ac:dyDescent="0.35">
      <c r="A221" s="10">
        <v>218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4">
        <f t="shared" si="9"/>
        <v>0</v>
      </c>
      <c r="N221" s="5" t="str">
        <f t="shared" si="10"/>
        <v/>
      </c>
      <c r="O221" s="10"/>
      <c r="P221" s="6">
        <f t="shared" si="11"/>
        <v>0</v>
      </c>
      <c r="Q221" s="7"/>
      <c r="R221" s="8"/>
      <c r="S221" s="11"/>
    </row>
    <row r="222" spans="1:19" ht="13.5" customHeight="1" x14ac:dyDescent="0.35">
      <c r="A222" s="3">
        <v>219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>
        <f t="shared" si="9"/>
        <v>0</v>
      </c>
      <c r="N222" s="5" t="str">
        <f t="shared" si="10"/>
        <v/>
      </c>
      <c r="O222" s="3"/>
      <c r="P222" s="6">
        <f t="shared" si="11"/>
        <v>0</v>
      </c>
      <c r="Q222" s="7"/>
      <c r="R222" s="8"/>
      <c r="S222" s="9"/>
    </row>
    <row r="223" spans="1:19" ht="13.5" customHeight="1" x14ac:dyDescent="0.35">
      <c r="A223" s="10">
        <v>220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4">
        <f t="shared" si="9"/>
        <v>0</v>
      </c>
      <c r="N223" s="5" t="str">
        <f t="shared" si="10"/>
        <v/>
      </c>
      <c r="O223" s="10"/>
      <c r="P223" s="6">
        <f t="shared" si="11"/>
        <v>0</v>
      </c>
      <c r="Q223" s="7"/>
      <c r="R223" s="8"/>
      <c r="S223" s="11"/>
    </row>
    <row r="224" spans="1:19" ht="13.5" customHeight="1" x14ac:dyDescent="0.35">
      <c r="A224" s="3">
        <v>221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>
        <f t="shared" si="9"/>
        <v>0</v>
      </c>
      <c r="N224" s="5" t="str">
        <f t="shared" si="10"/>
        <v/>
      </c>
      <c r="O224" s="3"/>
      <c r="P224" s="6">
        <f t="shared" si="11"/>
        <v>0</v>
      </c>
      <c r="Q224" s="7"/>
      <c r="R224" s="8"/>
      <c r="S224" s="9"/>
    </row>
    <row r="225" spans="1:19" ht="13.5" customHeight="1" x14ac:dyDescent="0.35">
      <c r="A225" s="10">
        <v>222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4">
        <f t="shared" si="9"/>
        <v>0</v>
      </c>
      <c r="N225" s="5" t="str">
        <f t="shared" si="10"/>
        <v/>
      </c>
      <c r="O225" s="10"/>
      <c r="P225" s="6">
        <f t="shared" si="11"/>
        <v>0</v>
      </c>
      <c r="Q225" s="7"/>
      <c r="R225" s="8"/>
      <c r="S225" s="11"/>
    </row>
    <row r="226" spans="1:19" ht="13.5" customHeight="1" x14ac:dyDescent="0.35">
      <c r="A226" s="3">
        <v>223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>
        <f t="shared" si="9"/>
        <v>0</v>
      </c>
      <c r="N226" s="5" t="str">
        <f t="shared" si="10"/>
        <v/>
      </c>
      <c r="O226" s="3"/>
      <c r="P226" s="6">
        <f t="shared" si="11"/>
        <v>0</v>
      </c>
      <c r="Q226" s="7"/>
      <c r="R226" s="8"/>
      <c r="S226" s="9"/>
    </row>
    <row r="227" spans="1:19" ht="13.5" customHeight="1" x14ac:dyDescent="0.35">
      <c r="A227" s="10">
        <v>224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4">
        <f t="shared" si="9"/>
        <v>0</v>
      </c>
      <c r="N227" s="5" t="str">
        <f t="shared" si="10"/>
        <v/>
      </c>
      <c r="O227" s="10"/>
      <c r="P227" s="6">
        <f t="shared" si="11"/>
        <v>0</v>
      </c>
      <c r="Q227" s="7"/>
      <c r="R227" s="8"/>
      <c r="S227" s="11"/>
    </row>
    <row r="228" spans="1:19" ht="13.5" customHeight="1" x14ac:dyDescent="0.35">
      <c r="A228" s="3">
        <v>225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>
        <f t="shared" si="9"/>
        <v>0</v>
      </c>
      <c r="N228" s="5" t="str">
        <f t="shared" si="10"/>
        <v/>
      </c>
      <c r="O228" s="3"/>
      <c r="P228" s="6">
        <f t="shared" si="11"/>
        <v>0</v>
      </c>
      <c r="Q228" s="7"/>
      <c r="R228" s="8"/>
      <c r="S228" s="9"/>
    </row>
    <row r="229" spans="1:19" ht="13.5" customHeight="1" x14ac:dyDescent="0.35">
      <c r="A229" s="10">
        <v>226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4">
        <f t="shared" si="9"/>
        <v>0</v>
      </c>
      <c r="N229" s="5" t="str">
        <f t="shared" si="10"/>
        <v/>
      </c>
      <c r="O229" s="10"/>
      <c r="P229" s="6">
        <f t="shared" si="11"/>
        <v>0</v>
      </c>
      <c r="Q229" s="7"/>
      <c r="R229" s="8"/>
      <c r="S229" s="11"/>
    </row>
    <row r="230" spans="1:19" ht="13.5" customHeight="1" x14ac:dyDescent="0.35">
      <c r="A230" s="3">
        <v>227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>
        <f t="shared" si="9"/>
        <v>0</v>
      </c>
      <c r="N230" s="5" t="str">
        <f t="shared" si="10"/>
        <v/>
      </c>
      <c r="O230" s="3"/>
      <c r="P230" s="6">
        <f t="shared" si="11"/>
        <v>0</v>
      </c>
      <c r="Q230" s="7"/>
      <c r="R230" s="8"/>
      <c r="S230" s="9"/>
    </row>
    <row r="231" spans="1:19" ht="13.5" customHeight="1" x14ac:dyDescent="0.35">
      <c r="A231" s="10">
        <v>228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4">
        <f t="shared" si="9"/>
        <v>0</v>
      </c>
      <c r="N231" s="5" t="str">
        <f t="shared" si="10"/>
        <v/>
      </c>
      <c r="O231" s="10"/>
      <c r="P231" s="6">
        <f t="shared" si="11"/>
        <v>0</v>
      </c>
      <c r="Q231" s="7"/>
      <c r="R231" s="8"/>
      <c r="S231" s="11"/>
    </row>
    <row r="232" spans="1:19" ht="13.5" customHeight="1" x14ac:dyDescent="0.35">
      <c r="A232" s="3">
        <v>229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>
        <f t="shared" si="9"/>
        <v>0</v>
      </c>
      <c r="N232" s="5" t="str">
        <f t="shared" si="10"/>
        <v/>
      </c>
      <c r="O232" s="3"/>
      <c r="P232" s="6">
        <f t="shared" si="11"/>
        <v>0</v>
      </c>
      <c r="Q232" s="7"/>
      <c r="R232" s="8"/>
      <c r="S232" s="9"/>
    </row>
    <row r="233" spans="1:19" ht="13.5" customHeight="1" x14ac:dyDescent="0.35">
      <c r="A233" s="10">
        <v>230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4">
        <f t="shared" si="9"/>
        <v>0</v>
      </c>
      <c r="N233" s="5" t="str">
        <f t="shared" si="10"/>
        <v/>
      </c>
      <c r="O233" s="10"/>
      <c r="P233" s="6">
        <f t="shared" si="11"/>
        <v>0</v>
      </c>
      <c r="Q233" s="7"/>
      <c r="R233" s="8"/>
      <c r="S233" s="11"/>
    </row>
    <row r="234" spans="1:19" ht="13.5" customHeight="1" x14ac:dyDescent="0.35">
      <c r="A234" s="3">
        <v>231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>
        <f t="shared" si="9"/>
        <v>0</v>
      </c>
      <c r="N234" s="5" t="str">
        <f t="shared" si="10"/>
        <v/>
      </c>
      <c r="O234" s="3"/>
      <c r="P234" s="6">
        <f t="shared" si="11"/>
        <v>0</v>
      </c>
      <c r="Q234" s="7"/>
      <c r="R234" s="8"/>
      <c r="S234" s="9"/>
    </row>
    <row r="235" spans="1:19" ht="13.5" customHeight="1" x14ac:dyDescent="0.35">
      <c r="A235" s="10">
        <v>232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4">
        <f t="shared" si="9"/>
        <v>0</v>
      </c>
      <c r="N235" s="5" t="str">
        <f t="shared" si="10"/>
        <v/>
      </c>
      <c r="O235" s="10"/>
      <c r="P235" s="6">
        <f t="shared" si="11"/>
        <v>0</v>
      </c>
      <c r="Q235" s="7"/>
      <c r="R235" s="8"/>
      <c r="S235" s="11"/>
    </row>
    <row r="236" spans="1:19" ht="13.5" customHeight="1" x14ac:dyDescent="0.35">
      <c r="A236" s="3">
        <v>233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>
        <f t="shared" si="9"/>
        <v>0</v>
      </c>
      <c r="N236" s="5" t="str">
        <f t="shared" si="10"/>
        <v/>
      </c>
      <c r="O236" s="3"/>
      <c r="P236" s="6">
        <f t="shared" si="11"/>
        <v>0</v>
      </c>
      <c r="Q236" s="7"/>
      <c r="R236" s="8"/>
      <c r="S236" s="9"/>
    </row>
    <row r="237" spans="1:19" ht="13.5" customHeight="1" x14ac:dyDescent="0.35">
      <c r="A237" s="10">
        <v>234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4">
        <f t="shared" si="9"/>
        <v>0</v>
      </c>
      <c r="N237" s="5" t="str">
        <f t="shared" si="10"/>
        <v/>
      </c>
      <c r="O237" s="10"/>
      <c r="P237" s="6">
        <f t="shared" si="11"/>
        <v>0</v>
      </c>
      <c r="Q237" s="7"/>
      <c r="R237" s="8"/>
      <c r="S237" s="11"/>
    </row>
    <row r="238" spans="1:19" ht="13.5" customHeight="1" x14ac:dyDescent="0.35">
      <c r="A238" s="3">
        <v>235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>
        <f t="shared" si="9"/>
        <v>0</v>
      </c>
      <c r="N238" s="5" t="str">
        <f t="shared" si="10"/>
        <v/>
      </c>
      <c r="O238" s="3"/>
      <c r="P238" s="6">
        <f t="shared" si="11"/>
        <v>0</v>
      </c>
      <c r="Q238" s="7"/>
      <c r="R238" s="8"/>
      <c r="S238" s="9"/>
    </row>
    <row r="239" spans="1:19" ht="13.5" customHeight="1" x14ac:dyDescent="0.35">
      <c r="A239" s="10">
        <v>236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4">
        <f t="shared" si="9"/>
        <v>0</v>
      </c>
      <c r="N239" s="5" t="str">
        <f t="shared" si="10"/>
        <v/>
      </c>
      <c r="O239" s="10"/>
      <c r="P239" s="6">
        <f t="shared" si="11"/>
        <v>0</v>
      </c>
      <c r="Q239" s="7"/>
      <c r="R239" s="8"/>
      <c r="S239" s="11"/>
    </row>
    <row r="240" spans="1:19" ht="13.5" customHeight="1" x14ac:dyDescent="0.35">
      <c r="A240" s="3">
        <v>237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>
        <f t="shared" si="9"/>
        <v>0</v>
      </c>
      <c r="N240" s="5" t="str">
        <f t="shared" si="10"/>
        <v/>
      </c>
      <c r="O240" s="3"/>
      <c r="P240" s="6">
        <f t="shared" si="11"/>
        <v>0</v>
      </c>
      <c r="Q240" s="7"/>
      <c r="R240" s="8"/>
      <c r="S240" s="9"/>
    </row>
    <row r="241" spans="1:19" ht="13.5" customHeight="1" x14ac:dyDescent="0.35">
      <c r="A241" s="10">
        <v>238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4">
        <f t="shared" si="9"/>
        <v>0</v>
      </c>
      <c r="N241" s="5" t="str">
        <f t="shared" si="10"/>
        <v/>
      </c>
      <c r="O241" s="10"/>
      <c r="P241" s="6">
        <f t="shared" si="11"/>
        <v>0</v>
      </c>
      <c r="Q241" s="7"/>
      <c r="R241" s="8"/>
      <c r="S241" s="11"/>
    </row>
    <row r="242" spans="1:19" ht="13.5" customHeight="1" x14ac:dyDescent="0.35">
      <c r="A242" s="3">
        <v>239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>
        <f t="shared" si="9"/>
        <v>0</v>
      </c>
      <c r="N242" s="5" t="str">
        <f t="shared" si="10"/>
        <v/>
      </c>
      <c r="O242" s="3"/>
      <c r="P242" s="6">
        <f t="shared" si="11"/>
        <v>0</v>
      </c>
      <c r="Q242" s="7"/>
      <c r="R242" s="8"/>
      <c r="S242" s="9"/>
    </row>
    <row r="243" spans="1:19" ht="13.5" customHeight="1" x14ac:dyDescent="0.35">
      <c r="A243" s="10">
        <v>240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4">
        <f t="shared" si="9"/>
        <v>0</v>
      </c>
      <c r="N243" s="5" t="str">
        <f t="shared" si="10"/>
        <v/>
      </c>
      <c r="O243" s="10"/>
      <c r="P243" s="6">
        <f t="shared" si="11"/>
        <v>0</v>
      </c>
      <c r="Q243" s="7"/>
      <c r="R243" s="8"/>
      <c r="S243" s="11"/>
    </row>
    <row r="244" spans="1:19" ht="13.5" customHeight="1" x14ac:dyDescent="0.35">
      <c r="A244" s="3">
        <v>241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>
        <f t="shared" si="9"/>
        <v>0</v>
      </c>
      <c r="N244" s="5" t="str">
        <f t="shared" si="10"/>
        <v/>
      </c>
      <c r="O244" s="3"/>
      <c r="P244" s="6">
        <f t="shared" si="11"/>
        <v>0</v>
      </c>
      <c r="Q244" s="7"/>
      <c r="R244" s="8"/>
      <c r="S244" s="9"/>
    </row>
    <row r="245" spans="1:19" ht="13.5" customHeight="1" x14ac:dyDescent="0.35">
      <c r="A245" s="10">
        <v>242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4">
        <f t="shared" si="9"/>
        <v>0</v>
      </c>
      <c r="N245" s="5" t="str">
        <f t="shared" si="10"/>
        <v/>
      </c>
      <c r="O245" s="10"/>
      <c r="P245" s="6">
        <f t="shared" si="11"/>
        <v>0</v>
      </c>
      <c r="Q245" s="7"/>
      <c r="R245" s="8"/>
      <c r="S245" s="11"/>
    </row>
    <row r="246" spans="1:19" ht="13.5" customHeight="1" x14ac:dyDescent="0.35">
      <c r="A246" s="3">
        <v>243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>
        <f t="shared" si="9"/>
        <v>0</v>
      </c>
      <c r="N246" s="5" t="str">
        <f t="shared" si="10"/>
        <v/>
      </c>
      <c r="O246" s="3"/>
      <c r="P246" s="6">
        <f t="shared" si="11"/>
        <v>0</v>
      </c>
      <c r="Q246" s="7"/>
      <c r="R246" s="8"/>
      <c r="S246" s="9"/>
    </row>
    <row r="247" spans="1:19" ht="13.5" customHeight="1" x14ac:dyDescent="0.35">
      <c r="A247" s="10">
        <v>244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4">
        <f t="shared" si="9"/>
        <v>0</v>
      </c>
      <c r="N247" s="5" t="str">
        <f t="shared" si="10"/>
        <v/>
      </c>
      <c r="O247" s="10"/>
      <c r="P247" s="6">
        <f t="shared" si="11"/>
        <v>0</v>
      </c>
      <c r="Q247" s="7"/>
      <c r="R247" s="8"/>
      <c r="S247" s="11"/>
    </row>
    <row r="248" spans="1:19" ht="13.5" customHeight="1" x14ac:dyDescent="0.35">
      <c r="A248" s="3">
        <v>245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>
        <f t="shared" si="9"/>
        <v>0</v>
      </c>
      <c r="N248" s="5" t="str">
        <f t="shared" si="10"/>
        <v/>
      </c>
      <c r="O248" s="3"/>
      <c r="P248" s="6">
        <f t="shared" si="11"/>
        <v>0</v>
      </c>
      <c r="Q248" s="7"/>
      <c r="R248" s="8"/>
      <c r="S248" s="9"/>
    </row>
    <row r="249" spans="1:19" ht="13.5" customHeight="1" x14ac:dyDescent="0.35">
      <c r="A249" s="10">
        <v>246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4">
        <f t="shared" si="9"/>
        <v>0</v>
      </c>
      <c r="N249" s="5" t="str">
        <f t="shared" si="10"/>
        <v/>
      </c>
      <c r="O249" s="10"/>
      <c r="P249" s="6">
        <f t="shared" si="11"/>
        <v>0</v>
      </c>
      <c r="Q249" s="7"/>
      <c r="R249" s="8"/>
      <c r="S249" s="11"/>
    </row>
    <row r="250" spans="1:19" ht="13.5" customHeight="1" x14ac:dyDescent="0.35">
      <c r="A250" s="3">
        <v>247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>
        <f t="shared" si="9"/>
        <v>0</v>
      </c>
      <c r="N250" s="5" t="str">
        <f t="shared" si="10"/>
        <v/>
      </c>
      <c r="O250" s="3"/>
      <c r="P250" s="6">
        <f t="shared" si="11"/>
        <v>0</v>
      </c>
      <c r="Q250" s="7"/>
      <c r="R250" s="8"/>
      <c r="S250" s="9"/>
    </row>
    <row r="251" spans="1:19" ht="13.5" customHeight="1" x14ac:dyDescent="0.35">
      <c r="A251" s="10">
        <v>248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4">
        <f t="shared" si="9"/>
        <v>0</v>
      </c>
      <c r="N251" s="5" t="str">
        <f t="shared" si="10"/>
        <v/>
      </c>
      <c r="O251" s="10"/>
      <c r="P251" s="6">
        <f t="shared" si="11"/>
        <v>0</v>
      </c>
      <c r="Q251" s="7"/>
      <c r="R251" s="8"/>
      <c r="S251" s="11"/>
    </row>
    <row r="252" spans="1:19" ht="13.5" customHeight="1" x14ac:dyDescent="0.35">
      <c r="A252" s="3">
        <v>249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>
        <f t="shared" si="9"/>
        <v>0</v>
      </c>
      <c r="N252" s="5" t="str">
        <f t="shared" si="10"/>
        <v/>
      </c>
      <c r="O252" s="3"/>
      <c r="P252" s="6">
        <f t="shared" si="11"/>
        <v>0</v>
      </c>
      <c r="Q252" s="7"/>
      <c r="R252" s="8"/>
      <c r="S252" s="9"/>
    </row>
    <row r="253" spans="1:19" ht="13.5" customHeight="1" x14ac:dyDescent="0.35">
      <c r="A253" s="10">
        <v>250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4">
        <f t="shared" si="9"/>
        <v>0</v>
      </c>
      <c r="N253" s="5" t="str">
        <f t="shared" si="10"/>
        <v/>
      </c>
      <c r="O253" s="10"/>
      <c r="P253" s="6">
        <f t="shared" si="11"/>
        <v>0</v>
      </c>
      <c r="Q253" s="7"/>
      <c r="R253" s="8"/>
      <c r="S253" s="11"/>
    </row>
    <row r="254" spans="1:19" ht="13.5" customHeight="1" x14ac:dyDescent="0.35">
      <c r="A254" s="3">
        <v>251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>
        <f t="shared" si="9"/>
        <v>0</v>
      </c>
      <c r="N254" s="5" t="str">
        <f t="shared" si="10"/>
        <v/>
      </c>
      <c r="O254" s="3"/>
      <c r="P254" s="6">
        <f t="shared" si="11"/>
        <v>0</v>
      </c>
      <c r="Q254" s="7"/>
      <c r="R254" s="8"/>
      <c r="S254" s="9"/>
    </row>
    <row r="255" spans="1:19" ht="13.5" customHeight="1" x14ac:dyDescent="0.35">
      <c r="A255" s="10">
        <v>252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4">
        <f t="shared" si="9"/>
        <v>0</v>
      </c>
      <c r="N255" s="5" t="str">
        <f t="shared" si="10"/>
        <v/>
      </c>
      <c r="O255" s="10"/>
      <c r="P255" s="6">
        <f t="shared" si="11"/>
        <v>0</v>
      </c>
      <c r="Q255" s="7"/>
      <c r="R255" s="8"/>
      <c r="S255" s="11"/>
    </row>
    <row r="256" spans="1:19" ht="13.5" customHeight="1" x14ac:dyDescent="0.35">
      <c r="A256" s="3">
        <v>253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>
        <f t="shared" si="9"/>
        <v>0</v>
      </c>
      <c r="N256" s="5" t="str">
        <f t="shared" si="10"/>
        <v/>
      </c>
      <c r="O256" s="3"/>
      <c r="P256" s="6">
        <f t="shared" si="11"/>
        <v>0</v>
      </c>
      <c r="Q256" s="7"/>
      <c r="R256" s="8"/>
      <c r="S256" s="9"/>
    </row>
    <row r="257" spans="1:19" ht="13.5" customHeight="1" x14ac:dyDescent="0.35">
      <c r="A257" s="10">
        <v>254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4">
        <f t="shared" si="9"/>
        <v>0</v>
      </c>
      <c r="N257" s="5" t="str">
        <f t="shared" si="10"/>
        <v/>
      </c>
      <c r="O257" s="10"/>
      <c r="P257" s="6">
        <f t="shared" si="11"/>
        <v>0</v>
      </c>
      <c r="Q257" s="7"/>
      <c r="R257" s="8"/>
      <c r="S257" s="11"/>
    </row>
    <row r="258" spans="1:19" ht="13.5" customHeight="1" x14ac:dyDescent="0.35">
      <c r="A258" s="3">
        <v>255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>
        <f t="shared" si="9"/>
        <v>0</v>
      </c>
      <c r="N258" s="5" t="str">
        <f t="shared" si="10"/>
        <v/>
      </c>
      <c r="O258" s="3"/>
      <c r="P258" s="6">
        <f t="shared" si="11"/>
        <v>0</v>
      </c>
      <c r="Q258" s="7"/>
      <c r="R258" s="8"/>
      <c r="S258" s="9"/>
    </row>
    <row r="259" spans="1:19" ht="13.5" customHeight="1" x14ac:dyDescent="0.35">
      <c r="A259" s="10">
        <v>256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4">
        <f t="shared" si="9"/>
        <v>0</v>
      </c>
      <c r="N259" s="5" t="str">
        <f t="shared" si="10"/>
        <v/>
      </c>
      <c r="O259" s="10"/>
      <c r="P259" s="6">
        <f t="shared" si="11"/>
        <v>0</v>
      </c>
      <c r="Q259" s="7"/>
      <c r="R259" s="8"/>
      <c r="S259" s="11"/>
    </row>
    <row r="260" spans="1:19" ht="13.5" customHeight="1" x14ac:dyDescent="0.35">
      <c r="A260" s="3">
        <v>257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>
        <f t="shared" ref="M260:M303" si="12">IFERROR(K260-L260,"")</f>
        <v>0</v>
      </c>
      <c r="N260" s="5" t="str">
        <f t="shared" ref="N260:N303" si="13">IFERROR(L260/K260,"")</f>
        <v/>
      </c>
      <c r="O260" s="3"/>
      <c r="P260" s="6">
        <f t="shared" ref="P260:P303" si="14">IFERROR(L260*O260,"")</f>
        <v>0</v>
      </c>
      <c r="Q260" s="7"/>
      <c r="R260" s="8"/>
      <c r="S260" s="9"/>
    </row>
    <row r="261" spans="1:19" ht="13.5" customHeight="1" x14ac:dyDescent="0.35">
      <c r="A261" s="10">
        <v>258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4">
        <f t="shared" si="12"/>
        <v>0</v>
      </c>
      <c r="N261" s="5" t="str">
        <f t="shared" si="13"/>
        <v/>
      </c>
      <c r="O261" s="10"/>
      <c r="P261" s="6">
        <f t="shared" si="14"/>
        <v>0</v>
      </c>
      <c r="Q261" s="7"/>
      <c r="R261" s="8"/>
      <c r="S261" s="11"/>
    </row>
    <row r="262" spans="1:19" ht="13.5" customHeight="1" x14ac:dyDescent="0.35">
      <c r="A262" s="3">
        <v>259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>
        <f t="shared" si="12"/>
        <v>0</v>
      </c>
      <c r="N262" s="5" t="str">
        <f t="shared" si="13"/>
        <v/>
      </c>
      <c r="O262" s="3"/>
      <c r="P262" s="6">
        <f t="shared" si="14"/>
        <v>0</v>
      </c>
      <c r="Q262" s="7"/>
      <c r="R262" s="8"/>
      <c r="S262" s="9"/>
    </row>
    <row r="263" spans="1:19" ht="13.5" customHeight="1" x14ac:dyDescent="0.35">
      <c r="A263" s="10">
        <v>260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4">
        <f t="shared" si="12"/>
        <v>0</v>
      </c>
      <c r="N263" s="5" t="str">
        <f t="shared" si="13"/>
        <v/>
      </c>
      <c r="O263" s="10"/>
      <c r="P263" s="6">
        <f t="shared" si="14"/>
        <v>0</v>
      </c>
      <c r="Q263" s="7"/>
      <c r="R263" s="8"/>
      <c r="S263" s="11"/>
    </row>
    <row r="264" spans="1:19" ht="13.5" customHeight="1" x14ac:dyDescent="0.35">
      <c r="A264" s="3">
        <v>261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>
        <f t="shared" si="12"/>
        <v>0</v>
      </c>
      <c r="N264" s="5" t="str">
        <f t="shared" si="13"/>
        <v/>
      </c>
      <c r="O264" s="3"/>
      <c r="P264" s="6">
        <f t="shared" si="14"/>
        <v>0</v>
      </c>
      <c r="Q264" s="7"/>
      <c r="R264" s="8"/>
      <c r="S264" s="9"/>
    </row>
    <row r="265" spans="1:19" ht="13.5" customHeight="1" x14ac:dyDescent="0.35">
      <c r="A265" s="10">
        <v>262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4">
        <f t="shared" si="12"/>
        <v>0</v>
      </c>
      <c r="N265" s="5" t="str">
        <f t="shared" si="13"/>
        <v/>
      </c>
      <c r="O265" s="10"/>
      <c r="P265" s="6">
        <f t="shared" si="14"/>
        <v>0</v>
      </c>
      <c r="Q265" s="7"/>
      <c r="R265" s="8"/>
      <c r="S265" s="11"/>
    </row>
    <row r="266" spans="1:19" ht="13.5" customHeight="1" x14ac:dyDescent="0.35">
      <c r="A266" s="3">
        <v>263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>
        <f t="shared" si="12"/>
        <v>0</v>
      </c>
      <c r="N266" s="5" t="str">
        <f t="shared" si="13"/>
        <v/>
      </c>
      <c r="O266" s="3"/>
      <c r="P266" s="6">
        <f t="shared" si="14"/>
        <v>0</v>
      </c>
      <c r="Q266" s="7"/>
      <c r="R266" s="8"/>
      <c r="S266" s="9"/>
    </row>
    <row r="267" spans="1:19" ht="13.5" customHeight="1" x14ac:dyDescent="0.35">
      <c r="A267" s="10">
        <v>264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4">
        <f t="shared" si="12"/>
        <v>0</v>
      </c>
      <c r="N267" s="5" t="str">
        <f t="shared" si="13"/>
        <v/>
      </c>
      <c r="O267" s="10"/>
      <c r="P267" s="6">
        <f t="shared" si="14"/>
        <v>0</v>
      </c>
      <c r="Q267" s="7"/>
      <c r="R267" s="8"/>
      <c r="S267" s="11"/>
    </row>
    <row r="268" spans="1:19" ht="13.5" customHeight="1" x14ac:dyDescent="0.35">
      <c r="A268" s="3">
        <v>265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>
        <f t="shared" si="12"/>
        <v>0</v>
      </c>
      <c r="N268" s="5" t="str">
        <f t="shared" si="13"/>
        <v/>
      </c>
      <c r="O268" s="3"/>
      <c r="P268" s="6">
        <f t="shared" si="14"/>
        <v>0</v>
      </c>
      <c r="Q268" s="7"/>
      <c r="R268" s="8"/>
      <c r="S268" s="9"/>
    </row>
    <row r="269" spans="1:19" ht="13.5" customHeight="1" x14ac:dyDescent="0.35">
      <c r="A269" s="10">
        <v>266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4">
        <f t="shared" si="12"/>
        <v>0</v>
      </c>
      <c r="N269" s="5" t="str">
        <f t="shared" si="13"/>
        <v/>
      </c>
      <c r="O269" s="10"/>
      <c r="P269" s="6">
        <f t="shared" si="14"/>
        <v>0</v>
      </c>
      <c r="Q269" s="7"/>
      <c r="R269" s="8"/>
      <c r="S269" s="11"/>
    </row>
    <row r="270" spans="1:19" ht="13.5" customHeight="1" x14ac:dyDescent="0.35">
      <c r="A270" s="3">
        <v>267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>
        <f t="shared" si="12"/>
        <v>0</v>
      </c>
      <c r="N270" s="5" t="str">
        <f t="shared" si="13"/>
        <v/>
      </c>
      <c r="O270" s="3"/>
      <c r="P270" s="6">
        <f t="shared" si="14"/>
        <v>0</v>
      </c>
      <c r="Q270" s="7"/>
      <c r="R270" s="8"/>
      <c r="S270" s="9"/>
    </row>
    <row r="271" spans="1:19" ht="13.5" customHeight="1" x14ac:dyDescent="0.35">
      <c r="A271" s="10">
        <v>268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4">
        <f t="shared" si="12"/>
        <v>0</v>
      </c>
      <c r="N271" s="5" t="str">
        <f t="shared" si="13"/>
        <v/>
      </c>
      <c r="O271" s="10"/>
      <c r="P271" s="6">
        <f t="shared" si="14"/>
        <v>0</v>
      </c>
      <c r="Q271" s="7"/>
      <c r="R271" s="8"/>
      <c r="S271" s="11"/>
    </row>
    <row r="272" spans="1:19" ht="13.5" customHeight="1" x14ac:dyDescent="0.35">
      <c r="A272" s="3">
        <v>269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>
        <f t="shared" si="12"/>
        <v>0</v>
      </c>
      <c r="N272" s="5" t="str">
        <f t="shared" si="13"/>
        <v/>
      </c>
      <c r="O272" s="3"/>
      <c r="P272" s="6">
        <f t="shared" si="14"/>
        <v>0</v>
      </c>
      <c r="Q272" s="7"/>
      <c r="R272" s="8"/>
      <c r="S272" s="9"/>
    </row>
    <row r="273" spans="1:19" ht="13.5" customHeight="1" x14ac:dyDescent="0.35">
      <c r="A273" s="10">
        <v>270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4">
        <f t="shared" si="12"/>
        <v>0</v>
      </c>
      <c r="N273" s="5" t="str">
        <f t="shared" si="13"/>
        <v/>
      </c>
      <c r="O273" s="10"/>
      <c r="P273" s="6">
        <f t="shared" si="14"/>
        <v>0</v>
      </c>
      <c r="Q273" s="7"/>
      <c r="R273" s="8"/>
      <c r="S273" s="11"/>
    </row>
    <row r="274" spans="1:19" ht="13.5" customHeight="1" x14ac:dyDescent="0.35">
      <c r="A274" s="3">
        <v>271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>
        <f t="shared" si="12"/>
        <v>0</v>
      </c>
      <c r="N274" s="5" t="str">
        <f t="shared" si="13"/>
        <v/>
      </c>
      <c r="O274" s="3"/>
      <c r="P274" s="6">
        <f t="shared" si="14"/>
        <v>0</v>
      </c>
      <c r="Q274" s="7"/>
      <c r="R274" s="8"/>
      <c r="S274" s="9"/>
    </row>
    <row r="275" spans="1:19" ht="13.5" customHeight="1" x14ac:dyDescent="0.35">
      <c r="A275" s="10">
        <v>272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4">
        <f t="shared" si="12"/>
        <v>0</v>
      </c>
      <c r="N275" s="5" t="str">
        <f t="shared" si="13"/>
        <v/>
      </c>
      <c r="O275" s="10"/>
      <c r="P275" s="6">
        <f t="shared" si="14"/>
        <v>0</v>
      </c>
      <c r="Q275" s="7"/>
      <c r="R275" s="8"/>
      <c r="S275" s="11"/>
    </row>
    <row r="276" spans="1:19" ht="13.5" customHeight="1" x14ac:dyDescent="0.35">
      <c r="A276" s="3">
        <v>273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>
        <f t="shared" si="12"/>
        <v>0</v>
      </c>
      <c r="N276" s="5" t="str">
        <f t="shared" si="13"/>
        <v/>
      </c>
      <c r="O276" s="3"/>
      <c r="P276" s="6">
        <f t="shared" si="14"/>
        <v>0</v>
      </c>
      <c r="Q276" s="7"/>
      <c r="R276" s="8"/>
      <c r="S276" s="9"/>
    </row>
    <row r="277" spans="1:19" ht="13.5" customHeight="1" x14ac:dyDescent="0.35">
      <c r="A277" s="10">
        <v>274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4">
        <f t="shared" si="12"/>
        <v>0</v>
      </c>
      <c r="N277" s="5" t="str">
        <f t="shared" si="13"/>
        <v/>
      </c>
      <c r="O277" s="10"/>
      <c r="P277" s="6">
        <f t="shared" si="14"/>
        <v>0</v>
      </c>
      <c r="Q277" s="7"/>
      <c r="R277" s="8"/>
      <c r="S277" s="11"/>
    </row>
    <row r="278" spans="1:19" ht="13.5" customHeight="1" x14ac:dyDescent="0.35">
      <c r="A278" s="3">
        <v>275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>
        <f t="shared" si="12"/>
        <v>0</v>
      </c>
      <c r="N278" s="5" t="str">
        <f t="shared" si="13"/>
        <v/>
      </c>
      <c r="O278" s="3"/>
      <c r="P278" s="6">
        <f t="shared" si="14"/>
        <v>0</v>
      </c>
      <c r="Q278" s="7"/>
      <c r="R278" s="8"/>
      <c r="S278" s="9"/>
    </row>
    <row r="279" spans="1:19" ht="13.5" customHeight="1" x14ac:dyDescent="0.35">
      <c r="A279" s="10">
        <v>276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4">
        <f t="shared" si="12"/>
        <v>0</v>
      </c>
      <c r="N279" s="5" t="str">
        <f t="shared" si="13"/>
        <v/>
      </c>
      <c r="O279" s="10"/>
      <c r="P279" s="6">
        <f t="shared" si="14"/>
        <v>0</v>
      </c>
      <c r="Q279" s="7"/>
      <c r="R279" s="8"/>
      <c r="S279" s="11"/>
    </row>
    <row r="280" spans="1:19" ht="13.5" customHeight="1" x14ac:dyDescent="0.35">
      <c r="A280" s="3">
        <v>277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>
        <f t="shared" si="12"/>
        <v>0</v>
      </c>
      <c r="N280" s="5" t="str">
        <f t="shared" si="13"/>
        <v/>
      </c>
      <c r="O280" s="3"/>
      <c r="P280" s="6">
        <f t="shared" si="14"/>
        <v>0</v>
      </c>
      <c r="Q280" s="7"/>
      <c r="R280" s="8"/>
      <c r="S280" s="9"/>
    </row>
    <row r="281" spans="1:19" ht="13.5" customHeight="1" x14ac:dyDescent="0.35">
      <c r="A281" s="10">
        <v>278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4">
        <f t="shared" si="12"/>
        <v>0</v>
      </c>
      <c r="N281" s="5" t="str">
        <f t="shared" si="13"/>
        <v/>
      </c>
      <c r="O281" s="10"/>
      <c r="P281" s="6">
        <f t="shared" si="14"/>
        <v>0</v>
      </c>
      <c r="Q281" s="7"/>
      <c r="R281" s="8"/>
      <c r="S281" s="11"/>
    </row>
    <row r="282" spans="1:19" ht="13.5" customHeight="1" x14ac:dyDescent="0.35">
      <c r="A282" s="3">
        <v>279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>
        <f t="shared" si="12"/>
        <v>0</v>
      </c>
      <c r="N282" s="5" t="str">
        <f t="shared" si="13"/>
        <v/>
      </c>
      <c r="O282" s="3"/>
      <c r="P282" s="6">
        <f t="shared" si="14"/>
        <v>0</v>
      </c>
      <c r="Q282" s="7"/>
      <c r="R282" s="8"/>
      <c r="S282" s="9"/>
    </row>
    <row r="283" spans="1:19" ht="13.5" customHeight="1" x14ac:dyDescent="0.35">
      <c r="A283" s="10">
        <v>280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4">
        <f t="shared" si="12"/>
        <v>0</v>
      </c>
      <c r="N283" s="5" t="str">
        <f t="shared" si="13"/>
        <v/>
      </c>
      <c r="O283" s="10"/>
      <c r="P283" s="6">
        <f t="shared" si="14"/>
        <v>0</v>
      </c>
      <c r="Q283" s="7"/>
      <c r="R283" s="8"/>
      <c r="S283" s="11"/>
    </row>
    <row r="284" spans="1:19" ht="13.5" customHeight="1" x14ac:dyDescent="0.35">
      <c r="A284" s="3">
        <v>281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>
        <f t="shared" si="12"/>
        <v>0</v>
      </c>
      <c r="N284" s="5" t="str">
        <f t="shared" si="13"/>
        <v/>
      </c>
      <c r="O284" s="3"/>
      <c r="P284" s="6">
        <f t="shared" si="14"/>
        <v>0</v>
      </c>
      <c r="Q284" s="7"/>
      <c r="R284" s="8"/>
      <c r="S284" s="9"/>
    </row>
    <row r="285" spans="1:19" ht="13.5" customHeight="1" x14ac:dyDescent="0.35">
      <c r="A285" s="10">
        <v>282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4">
        <f t="shared" si="12"/>
        <v>0</v>
      </c>
      <c r="N285" s="5" t="str">
        <f t="shared" si="13"/>
        <v/>
      </c>
      <c r="O285" s="10"/>
      <c r="P285" s="6">
        <f t="shared" si="14"/>
        <v>0</v>
      </c>
      <c r="Q285" s="7"/>
      <c r="R285" s="8"/>
      <c r="S285" s="11"/>
    </row>
    <row r="286" spans="1:19" ht="13.5" customHeight="1" x14ac:dyDescent="0.35">
      <c r="A286" s="3">
        <v>283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>
        <f t="shared" si="12"/>
        <v>0</v>
      </c>
      <c r="N286" s="5" t="str">
        <f t="shared" si="13"/>
        <v/>
      </c>
      <c r="O286" s="3"/>
      <c r="P286" s="6">
        <f t="shared" si="14"/>
        <v>0</v>
      </c>
      <c r="Q286" s="7"/>
      <c r="R286" s="8"/>
      <c r="S286" s="9"/>
    </row>
    <row r="287" spans="1:19" ht="13.5" customHeight="1" x14ac:dyDescent="0.35">
      <c r="A287" s="10">
        <v>284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4">
        <f t="shared" si="12"/>
        <v>0</v>
      </c>
      <c r="N287" s="5" t="str">
        <f t="shared" si="13"/>
        <v/>
      </c>
      <c r="O287" s="10"/>
      <c r="P287" s="6">
        <f t="shared" si="14"/>
        <v>0</v>
      </c>
      <c r="Q287" s="7"/>
      <c r="R287" s="8"/>
      <c r="S287" s="11"/>
    </row>
    <row r="288" spans="1:19" ht="13.5" customHeight="1" x14ac:dyDescent="0.35">
      <c r="A288" s="3">
        <v>285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>
        <f t="shared" si="12"/>
        <v>0</v>
      </c>
      <c r="N288" s="5" t="str">
        <f t="shared" si="13"/>
        <v/>
      </c>
      <c r="O288" s="3"/>
      <c r="P288" s="6">
        <f t="shared" si="14"/>
        <v>0</v>
      </c>
      <c r="Q288" s="7"/>
      <c r="R288" s="8"/>
      <c r="S288" s="9"/>
    </row>
    <row r="289" spans="1:19" ht="13.5" customHeight="1" x14ac:dyDescent="0.35">
      <c r="A289" s="10">
        <v>286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4">
        <f t="shared" si="12"/>
        <v>0</v>
      </c>
      <c r="N289" s="5" t="str">
        <f t="shared" si="13"/>
        <v/>
      </c>
      <c r="O289" s="10"/>
      <c r="P289" s="6">
        <f t="shared" si="14"/>
        <v>0</v>
      </c>
      <c r="Q289" s="7"/>
      <c r="R289" s="8"/>
      <c r="S289" s="11"/>
    </row>
    <row r="290" spans="1:19" ht="13.5" customHeight="1" x14ac:dyDescent="0.35">
      <c r="A290" s="3">
        <v>287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>
        <f t="shared" si="12"/>
        <v>0</v>
      </c>
      <c r="N290" s="5" t="str">
        <f t="shared" si="13"/>
        <v/>
      </c>
      <c r="O290" s="3"/>
      <c r="P290" s="6">
        <f t="shared" si="14"/>
        <v>0</v>
      </c>
      <c r="Q290" s="7"/>
      <c r="R290" s="8"/>
      <c r="S290" s="9"/>
    </row>
    <row r="291" spans="1:19" ht="13.5" customHeight="1" x14ac:dyDescent="0.35">
      <c r="A291" s="10">
        <v>288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4">
        <f t="shared" si="12"/>
        <v>0</v>
      </c>
      <c r="N291" s="5" t="str">
        <f t="shared" si="13"/>
        <v/>
      </c>
      <c r="O291" s="10"/>
      <c r="P291" s="6">
        <f t="shared" si="14"/>
        <v>0</v>
      </c>
      <c r="Q291" s="7"/>
      <c r="R291" s="8"/>
      <c r="S291" s="11"/>
    </row>
    <row r="292" spans="1:19" ht="13.5" customHeight="1" x14ac:dyDescent="0.35">
      <c r="A292" s="3">
        <v>289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>
        <f t="shared" si="12"/>
        <v>0</v>
      </c>
      <c r="N292" s="5" t="str">
        <f t="shared" si="13"/>
        <v/>
      </c>
      <c r="O292" s="3"/>
      <c r="P292" s="6">
        <f t="shared" si="14"/>
        <v>0</v>
      </c>
      <c r="Q292" s="7"/>
      <c r="R292" s="8"/>
      <c r="S292" s="9"/>
    </row>
    <row r="293" spans="1:19" ht="13.5" customHeight="1" x14ac:dyDescent="0.35">
      <c r="A293" s="10">
        <v>290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4">
        <f t="shared" si="12"/>
        <v>0</v>
      </c>
      <c r="N293" s="5" t="str">
        <f t="shared" si="13"/>
        <v/>
      </c>
      <c r="O293" s="10"/>
      <c r="P293" s="6">
        <f t="shared" si="14"/>
        <v>0</v>
      </c>
      <c r="Q293" s="7"/>
      <c r="R293" s="8"/>
      <c r="S293" s="11"/>
    </row>
    <row r="294" spans="1:19" ht="13.5" customHeight="1" x14ac:dyDescent="0.35">
      <c r="A294" s="3">
        <v>291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>
        <f t="shared" si="12"/>
        <v>0</v>
      </c>
      <c r="N294" s="5" t="str">
        <f t="shared" si="13"/>
        <v/>
      </c>
      <c r="O294" s="3"/>
      <c r="P294" s="6">
        <f t="shared" si="14"/>
        <v>0</v>
      </c>
      <c r="Q294" s="7"/>
      <c r="R294" s="8"/>
      <c r="S294" s="9"/>
    </row>
    <row r="295" spans="1:19" ht="13.5" customHeight="1" x14ac:dyDescent="0.35">
      <c r="A295" s="10">
        <v>292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4">
        <f t="shared" si="12"/>
        <v>0</v>
      </c>
      <c r="N295" s="5" t="str">
        <f t="shared" si="13"/>
        <v/>
      </c>
      <c r="O295" s="10"/>
      <c r="P295" s="6">
        <f t="shared" si="14"/>
        <v>0</v>
      </c>
      <c r="Q295" s="7"/>
      <c r="R295" s="8"/>
      <c r="S295" s="11"/>
    </row>
    <row r="296" spans="1:19" ht="13.5" customHeight="1" x14ac:dyDescent="0.35">
      <c r="A296" s="3">
        <v>293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>
        <f t="shared" si="12"/>
        <v>0</v>
      </c>
      <c r="N296" s="5" t="str">
        <f t="shared" si="13"/>
        <v/>
      </c>
      <c r="O296" s="3"/>
      <c r="P296" s="6">
        <f t="shared" si="14"/>
        <v>0</v>
      </c>
      <c r="Q296" s="7"/>
      <c r="R296" s="8"/>
      <c r="S296" s="9"/>
    </row>
    <row r="297" spans="1:19" ht="13.5" customHeight="1" x14ac:dyDescent="0.35">
      <c r="A297" s="10">
        <v>294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4">
        <f t="shared" si="12"/>
        <v>0</v>
      </c>
      <c r="N297" s="5" t="str">
        <f t="shared" si="13"/>
        <v/>
      </c>
      <c r="O297" s="10"/>
      <c r="P297" s="6">
        <f t="shared" si="14"/>
        <v>0</v>
      </c>
      <c r="Q297" s="7"/>
      <c r="R297" s="8"/>
      <c r="S297" s="11"/>
    </row>
    <row r="298" spans="1:19" ht="13.5" customHeight="1" x14ac:dyDescent="0.35">
      <c r="A298" s="3">
        <v>295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>
        <f t="shared" si="12"/>
        <v>0</v>
      </c>
      <c r="N298" s="5" t="str">
        <f t="shared" si="13"/>
        <v/>
      </c>
      <c r="O298" s="3"/>
      <c r="P298" s="6">
        <f t="shared" si="14"/>
        <v>0</v>
      </c>
      <c r="Q298" s="7"/>
      <c r="R298" s="8"/>
      <c r="S298" s="9"/>
    </row>
    <row r="299" spans="1:19" ht="13.5" customHeight="1" x14ac:dyDescent="0.35">
      <c r="A299" s="10">
        <v>296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4">
        <f t="shared" si="12"/>
        <v>0</v>
      </c>
      <c r="N299" s="5" t="str">
        <f t="shared" si="13"/>
        <v/>
      </c>
      <c r="O299" s="10"/>
      <c r="P299" s="6">
        <f t="shared" si="14"/>
        <v>0</v>
      </c>
      <c r="Q299" s="7"/>
      <c r="R299" s="8"/>
      <c r="S299" s="11"/>
    </row>
    <row r="300" spans="1:19" ht="13.5" customHeight="1" x14ac:dyDescent="0.35">
      <c r="A300" s="3">
        <v>297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>
        <f t="shared" si="12"/>
        <v>0</v>
      </c>
      <c r="N300" s="5" t="str">
        <f t="shared" si="13"/>
        <v/>
      </c>
      <c r="O300" s="3"/>
      <c r="P300" s="6">
        <f t="shared" si="14"/>
        <v>0</v>
      </c>
      <c r="Q300" s="7"/>
      <c r="R300" s="8"/>
      <c r="S300" s="9"/>
    </row>
    <row r="301" spans="1:19" ht="13.5" customHeight="1" x14ac:dyDescent="0.35">
      <c r="A301" s="10">
        <v>298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4">
        <f t="shared" si="12"/>
        <v>0</v>
      </c>
      <c r="N301" s="5" t="str">
        <f t="shared" si="13"/>
        <v/>
      </c>
      <c r="O301" s="10"/>
      <c r="P301" s="6">
        <f t="shared" si="14"/>
        <v>0</v>
      </c>
      <c r="Q301" s="7"/>
      <c r="R301" s="8"/>
      <c r="S301" s="11"/>
    </row>
    <row r="302" spans="1:19" ht="13.5" customHeight="1" x14ac:dyDescent="0.35">
      <c r="A302" s="3">
        <v>299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>
        <f t="shared" si="12"/>
        <v>0</v>
      </c>
      <c r="N302" s="5" t="str">
        <f t="shared" si="13"/>
        <v/>
      </c>
      <c r="O302" s="3"/>
      <c r="P302" s="6">
        <f t="shared" si="14"/>
        <v>0</v>
      </c>
      <c r="Q302" s="7"/>
      <c r="R302" s="8"/>
      <c r="S302" s="9"/>
    </row>
    <row r="303" spans="1:19" ht="13.5" customHeight="1" x14ac:dyDescent="0.35">
      <c r="A303" s="10">
        <v>300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4">
        <f t="shared" si="12"/>
        <v>0</v>
      </c>
      <c r="N303" s="5" t="str">
        <f t="shared" si="13"/>
        <v/>
      </c>
      <c r="O303" s="10"/>
      <c r="P303" s="6">
        <f t="shared" si="14"/>
        <v>0</v>
      </c>
      <c r="Q303" s="7"/>
      <c r="R303" s="8"/>
      <c r="S303" s="11"/>
    </row>
    <row r="305" spans="1:19" ht="12.75" customHeight="1" x14ac:dyDescent="0.35">
      <c r="A305" s="40" t="s">
        <v>20</v>
      </c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</row>
    <row r="308" spans="1:19" ht="18" customHeight="1" x14ac:dyDescent="0.35">
      <c r="A308" s="41" t="s">
        <v>21</v>
      </c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</row>
    <row r="309" spans="1:19" ht="15.75" customHeight="1" x14ac:dyDescent="0.35">
      <c r="A309" s="1" t="s">
        <v>22</v>
      </c>
      <c r="B309" s="1" t="s">
        <v>23</v>
      </c>
      <c r="C309" s="42" t="s">
        <v>24</v>
      </c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3" t="s">
        <v>25</v>
      </c>
      <c r="Q309" s="43"/>
      <c r="R309" s="43"/>
      <c r="S309" s="43"/>
    </row>
    <row r="310" spans="1:19" ht="30" customHeight="1" x14ac:dyDescent="0.35">
      <c r="A310" s="12" t="s">
        <v>26</v>
      </c>
      <c r="B310" s="13" t="s">
        <v>27</v>
      </c>
      <c r="C310" s="36" t="s">
        <v>28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7" t="s">
        <v>29</v>
      </c>
      <c r="Q310" s="37"/>
      <c r="R310" s="37"/>
      <c r="S310" s="37"/>
    </row>
    <row r="311" spans="1:19" ht="30" customHeight="1" x14ac:dyDescent="0.35">
      <c r="A311" s="12" t="s">
        <v>30</v>
      </c>
      <c r="B311" s="13" t="s">
        <v>31</v>
      </c>
      <c r="C311" s="36" t="s">
        <v>32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7" t="s">
        <v>33</v>
      </c>
      <c r="Q311" s="37"/>
      <c r="R311" s="37"/>
      <c r="S311" s="37"/>
    </row>
    <row r="312" spans="1:19" ht="30" customHeight="1" x14ac:dyDescent="0.35">
      <c r="A312" s="12" t="s">
        <v>34</v>
      </c>
      <c r="B312" s="13" t="s">
        <v>35</v>
      </c>
      <c r="C312" s="36" t="s">
        <v>36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7" t="s">
        <v>37</v>
      </c>
      <c r="Q312" s="37"/>
      <c r="R312" s="37"/>
      <c r="S312" s="37"/>
    </row>
    <row r="313" spans="1:19" ht="30" customHeight="1" x14ac:dyDescent="0.35">
      <c r="A313" s="14" t="s">
        <v>38</v>
      </c>
      <c r="B313" s="15" t="s">
        <v>39</v>
      </c>
      <c r="C313" s="32" t="s">
        <v>40</v>
      </c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3" t="s">
        <v>41</v>
      </c>
      <c r="Q313" s="33"/>
      <c r="R313" s="33"/>
      <c r="S313" s="33"/>
    </row>
    <row r="314" spans="1:19" ht="30" customHeight="1" x14ac:dyDescent="0.35">
      <c r="A314" s="16" t="s">
        <v>42</v>
      </c>
      <c r="B314" s="17" t="s">
        <v>43</v>
      </c>
      <c r="C314" s="34" t="s">
        <v>44</v>
      </c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5" t="s">
        <v>45</v>
      </c>
      <c r="Q314" s="35"/>
      <c r="R314" s="35"/>
      <c r="S314" s="35"/>
    </row>
    <row r="315" spans="1:19" ht="30" customHeight="1" x14ac:dyDescent="0.35">
      <c r="A315" s="16" t="s">
        <v>46</v>
      </c>
      <c r="B315" s="17" t="s">
        <v>47</v>
      </c>
      <c r="C315" s="34" t="s">
        <v>48</v>
      </c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5" t="s">
        <v>45</v>
      </c>
      <c r="Q315" s="35"/>
      <c r="R315" s="35"/>
      <c r="S315" s="35"/>
    </row>
    <row r="316" spans="1:19" ht="30" customHeight="1" x14ac:dyDescent="0.35">
      <c r="A316" s="18" t="s">
        <v>49</v>
      </c>
      <c r="B316" s="19" t="s">
        <v>50</v>
      </c>
      <c r="C316" s="30" t="s">
        <v>51</v>
      </c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1" t="s">
        <v>52</v>
      </c>
      <c r="Q316" s="31"/>
      <c r="R316" s="31"/>
      <c r="S316" s="31"/>
    </row>
    <row r="317" spans="1:19" ht="36" x14ac:dyDescent="0.35">
      <c r="A317" s="20" t="s">
        <v>53</v>
      </c>
      <c r="B317" s="21" t="s">
        <v>54</v>
      </c>
      <c r="C317" s="22" t="s">
        <v>55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4" t="s">
        <v>56</v>
      </c>
      <c r="Q317" s="23"/>
      <c r="R317" s="23"/>
      <c r="S317" s="23"/>
    </row>
  </sheetData>
  <mergeCells count="20">
    <mergeCell ref="A1:S1"/>
    <mergeCell ref="A2:S2"/>
    <mergeCell ref="A305:S305"/>
    <mergeCell ref="A308:S308"/>
    <mergeCell ref="C309:O309"/>
    <mergeCell ref="P309:S309"/>
    <mergeCell ref="C310:O310"/>
    <mergeCell ref="P310:S310"/>
    <mergeCell ref="C311:O311"/>
    <mergeCell ref="P311:S311"/>
    <mergeCell ref="C312:O312"/>
    <mergeCell ref="P312:S312"/>
    <mergeCell ref="C316:O316"/>
    <mergeCell ref="P316:S316"/>
    <mergeCell ref="C313:O313"/>
    <mergeCell ref="P313:S313"/>
    <mergeCell ref="C314:O314"/>
    <mergeCell ref="P314:S314"/>
    <mergeCell ref="C315:O315"/>
    <mergeCell ref="P315:S315"/>
  </mergeCells>
  <phoneticPr fontId="9" type="noConversion"/>
  <dataValidations count="5">
    <dataValidation type="list" allowBlank="1" sqref="G4:G303" xr:uid="{00000000-0002-0000-0000-000000000000}">
      <formula1>"Feminino,Masculino"</formula1>
      <formula2>0</formula2>
    </dataValidation>
    <dataValidation type="list" allowBlank="1" sqref="R4:R303" xr:uid="{00000000-0002-0000-0000-000002000000}">
      <formula1>"Sim — negócio em funcionamento,Sim — novo produto/serviço,Parcial,Não"</formula1>
      <formula2>0</formula2>
    </dataValidation>
    <dataValidation type="list" allowBlank="1" sqref="C4:C303" xr:uid="{00000000-0002-0000-0000-000003000000}">
      <formula1>"Nacala-a-Porto,Monapo"</formula1>
      <formula2>0</formula2>
    </dataValidation>
    <dataValidation type="list" allowBlank="1" sqref="I4:I303" xr:uid="{00000000-0002-0000-0000-000004000000}">
      <formula1>"Alim. perecível (revenda),Alim. não perecível (revenda),Alim. confeccionado/preparado,Produção própria / Machamba,Vestuário,Higiene e limpeza,Artesanato,Outro"</formula1>
      <formula2>0</formula2>
    </dataValidation>
    <dataValidation type="list" allowBlank="1" sqref="Q5:Q303 R4:R6" xr:uid="{00000000-0002-0000-00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70B44F-C666-4844-B255-47EEE53B68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DCF55-FEAA-4CAB-A7DB-1D72D1432363}"/>
</file>

<file path=customXml/itemProps3.xml><?xml version="1.0" encoding="utf-8"?>
<ds:datastoreItem xmlns:ds="http://schemas.openxmlformats.org/officeDocument/2006/customXml" ds:itemID="{031E72F2-0F72-4B77-A6B9-7696198D156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Registo_Feiras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Baibolo</cp:lastModifiedBy>
  <cp:revision>0</cp:revision>
  <dcterms:created xsi:type="dcterms:W3CDTF">2026-05-18T08:19:52Z</dcterms:created>
  <dcterms:modified xsi:type="dcterms:W3CDTF">2026-06-30T13:27:27Z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