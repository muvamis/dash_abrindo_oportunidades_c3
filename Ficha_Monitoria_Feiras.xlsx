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6/Dash_Abrindo_2026/"/>
    </mc:Choice>
  </mc:AlternateContent>
  <xr:revisionPtr revIDLastSave="165" documentId="11_E3F335634780587FAF890C965FDCD762EE0996DC" xr6:coauthVersionLast="47" xr6:coauthVersionMax="47" xr10:uidLastSave="{C63DC840-ACD6-4BEA-9E85-F32B90638D2D}"/>
  <bookViews>
    <workbookView xWindow="28680" yWindow="-120" windowWidth="29040" windowHeight="15720" tabRatio="500" xr2:uid="{00000000-000D-0000-FFFF-FFFF00000000}"/>
  </bookViews>
  <sheets>
    <sheet name="Registo_Feiras" sheetId="1" r:id="rId1"/>
    <sheet name="Resumo_Feira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7" i="1" l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8" i="1"/>
  <c r="N39" i="1"/>
  <c r="N40" i="1"/>
  <c r="N41" i="1"/>
  <c r="M40" i="1"/>
  <c r="P3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2" i="1"/>
  <c r="B21" i="2"/>
  <c r="B20" i="2"/>
  <c r="B18" i="2"/>
  <c r="B16" i="2"/>
  <c r="B15" i="2"/>
  <c r="B14" i="2"/>
  <c r="B13" i="2"/>
  <c r="E9" i="2"/>
  <c r="E8" i="2"/>
  <c r="E7" i="2"/>
  <c r="B17" i="2" l="1"/>
  <c r="B19" i="2"/>
</calcChain>
</file>

<file path=xl/sharedStrings.xml><?xml version="1.0" encoding="utf-8"?>
<sst xmlns="http://schemas.openxmlformats.org/spreadsheetml/2006/main" count="544" uniqueCount="185">
  <si>
    <t>Distrito</t>
  </si>
  <si>
    <t>ID
Participante</t>
  </si>
  <si>
    <t>Sexo</t>
  </si>
  <si>
    <t>% Vendido
[auto]</t>
  </si>
  <si>
    <t>Preço / Un.
(MZN)</t>
  </si>
  <si>
    <t>Vestuário</t>
  </si>
  <si>
    <t>Outro</t>
  </si>
  <si>
    <t>PROJECTO FAZER PROSPERAR — RESUMO DA FEIRA COMUNITÁRIA</t>
  </si>
  <si>
    <t>Calculado automaticamente a partir de Registo_Feiras · Contribui para indicadores A4-01 · OUT1-01 · OUT3-01</t>
  </si>
  <si>
    <t>CONTRIBUIÇÃO PARA OS INDICADORES TOC — FAZER PROSPERAR</t>
  </si>
  <si>
    <t>Código</t>
  </si>
  <si>
    <t>Indicador TOC</t>
  </si>
  <si>
    <t>Nível TOC</t>
  </si>
  <si>
    <t>Como esta ficha contribui</t>
  </si>
  <si>
    <t>Valor calculado</t>
  </si>
  <si>
    <t>Meta</t>
  </si>
  <si>
    <t>Nota</t>
  </si>
  <si>
    <t>A4-01</t>
  </si>
  <si>
    <t>1 feira comunitária e evento de networking organizado</t>
  </si>
  <si>
    <t>Actividade</t>
  </si>
  <si>
    <t>Indica se a feira foi realizada: ✅ se existem registos de participantes, ⏳ se ainda não há registo. Número de participantes disponível na linha 14 do resumo.</t>
  </si>
  <si>
    <t>1 evento / 350 part.</t>
  </si>
  <si>
    <t>Confirmar com relatório administrativo do evento</t>
  </si>
  <si>
    <t>OUT1-01</t>
  </si>
  <si>
    <t>50% dos participantes aplicam habilidades em actividades de geração de renda</t>
  </si>
  <si>
    <t>Outcome 1</t>
  </si>
  <si>
    <t>% de participantes com evidência de aplicação de habilidades no negócio (col. S = 'Sim')</t>
  </si>
  <si>
    <t>50% (175 part.)</t>
  </si>
  <si>
    <t>Triangular com Ficha de Mentoria (estado do negócio) e Voz do Participante</t>
  </si>
  <si>
    <t>OUT3-01</t>
  </si>
  <si>
    <t>30% reinvestem rendimentos no negócio ou em oportunidades produtivas</t>
  </si>
  <si>
    <t>Outcome 3</t>
  </si>
  <si>
    <t>% de participantes que estabeleceram novas ligações de mercado na feira (col. R = 'Sim')</t>
  </si>
  <si>
    <t>30% (105 part.)</t>
  </si>
  <si>
    <t>Proxy de reinvestimento — triangular com Ficha de Mentoria (stock e códigos DIV/GEST)</t>
  </si>
  <si>
    <t>TOTAIS GERAIS</t>
  </si>
  <si>
    <t>Indicador operacional</t>
  </si>
  <si>
    <t>Resultado</t>
  </si>
  <si>
    <t>Total de linhas preenchidas (registos produto × participante)</t>
  </si>
  <si>
    <t>Total de participantes únicos na feira</t>
  </si>
  <si>
    <t>Conta ID únicos</t>
  </si>
  <si>
    <t>Participantes do sexo feminino</t>
  </si>
  <si>
    <t>Participantes do sexo masculino</t>
  </si>
  <si>
    <t>Valor total vendido na feira (MZN)</t>
  </si>
  <si>
    <t>Quantidade total vendida (todas as categorias)</t>
  </si>
  <si>
    <t>% média de produto vendido por participante</t>
  </si>
  <si>
    <t>Média da coluna % Vendido</t>
  </si>
  <si>
    <t>Participantes com novas ligações de mercado (OUT3-01)</t>
  </si>
  <si>
    <t>Contribui para OUT3-01</t>
  </si>
  <si>
    <t>Participantes com evidência de aplicação de habilidades (OUT1-01)</t>
  </si>
  <si>
    <t>Contribui para OUT1-01</t>
  </si>
  <si>
    <t>LEGENDA:  🟡 OUT1-01 = Outcome 1 (Inclusão Económica — aplicação de habilidades)    🟠 OUT3-01 = Outcome 3 (Reinvestimento — novas ligações de mercado)    🔵 A4-01 = Actividade 4 (realização da feira)</t>
  </si>
  <si>
    <t>17-06-2026</t>
  </si>
  <si>
    <t>Ribaue</t>
  </si>
  <si>
    <t>Ribaue (Namiconha)</t>
  </si>
  <si>
    <t>Marlene Alfredo</t>
  </si>
  <si>
    <t>Metugel Armando</t>
  </si>
  <si>
    <t>Masculino</t>
  </si>
  <si>
    <t>Namariessa</t>
  </si>
  <si>
    <t>Alim. não perecível (revenda)</t>
  </si>
  <si>
    <t>Feijao Manteiga</t>
  </si>
  <si>
    <t>Sim</t>
  </si>
  <si>
    <t>Sim — negócio em funcionamento</t>
  </si>
  <si>
    <t>O negocio tem muita aderencia</t>
  </si>
  <si>
    <t>Tiassalde Vasco</t>
  </si>
  <si>
    <t>Triangulo</t>
  </si>
  <si>
    <t>Saias, Camisetas, calcoes, Blusas</t>
  </si>
  <si>
    <t>Não</t>
  </si>
  <si>
    <t>Parcial</t>
  </si>
  <si>
    <t>O negocio nao teve aderencia naquela feira</t>
  </si>
  <si>
    <t>Domingos Francisco</t>
  </si>
  <si>
    <t>Alim. perecível (revenda)</t>
  </si>
  <si>
    <t>Cenoura</t>
  </si>
  <si>
    <t>Sergio Rafael</t>
  </si>
  <si>
    <t>Hermenegildo Jose</t>
  </si>
  <si>
    <t>Micue</t>
  </si>
  <si>
    <t>Produção própria / Machamba</t>
  </si>
  <si>
    <t>Banana, Batata-dose, Laranjas</t>
  </si>
  <si>
    <t>Sim — novo produto/serviço</t>
  </si>
  <si>
    <t>O negcio tem muita aceitacao</t>
  </si>
  <si>
    <t>Edma Rogerio</t>
  </si>
  <si>
    <t>Feminino</t>
  </si>
  <si>
    <t>Fernando Samuel</t>
  </si>
  <si>
    <t>4 de Outubro</t>
  </si>
  <si>
    <t>Leque Visado</t>
  </si>
  <si>
    <t>Namuali</t>
  </si>
  <si>
    <t>Antunes Alfredo</t>
  </si>
  <si>
    <t>Mecuasse</t>
  </si>
  <si>
    <t>Amendoim</t>
  </si>
  <si>
    <t>Agostinho Adelino</t>
  </si>
  <si>
    <t>Filosofio Fernando</t>
  </si>
  <si>
    <t>Nore</t>
  </si>
  <si>
    <t>Alberto Arlindo</t>
  </si>
  <si>
    <t>Galinhas</t>
  </si>
  <si>
    <t>O Negocio  tem muita aceitacao</t>
  </si>
  <si>
    <t>Anibal Armando</t>
  </si>
  <si>
    <t>Galinha</t>
  </si>
  <si>
    <t>Diolino Paulo</t>
  </si>
  <si>
    <t>Tomate, Laranjas, Feijao Manteiga, Plasticos</t>
  </si>
  <si>
    <t>Estela Basilio Madruga</t>
  </si>
  <si>
    <t>Tomate, Cebola, Arroz e Couve</t>
  </si>
  <si>
    <t>Abel Alberto</t>
  </si>
  <si>
    <t>Arroz</t>
  </si>
  <si>
    <t>Adino Muatuga</t>
  </si>
  <si>
    <t>Geraldo Salvador</t>
  </si>
  <si>
    <t>Nacarroane</t>
  </si>
  <si>
    <t>Faltou a pratica da negociacao</t>
  </si>
  <si>
    <t>Jonata Constantino</t>
  </si>
  <si>
    <t>Couve</t>
  </si>
  <si>
    <t>O negcio teve uma ligeira aceitacao</t>
  </si>
  <si>
    <t>Cristina da Silva</t>
  </si>
  <si>
    <t>Feijao Boer, Batata-doce, Laranja</t>
  </si>
  <si>
    <t>Data_Feira</t>
  </si>
  <si>
    <t>Local_Feira</t>
  </si>
  <si>
    <t>Facilitador</t>
  </si>
  <si>
    <t>Nome_Participante</t>
  </si>
  <si>
    <t xml:space="preserve">Comunidade </t>
  </si>
  <si>
    <t>Categoria_Produto</t>
  </si>
  <si>
    <t>Produto_Descrição</t>
  </si>
  <si>
    <t>Qtd_Vendida_Kg _Un</t>
  </si>
  <si>
    <t>Qtd_Inicial_Kg_Un</t>
  </si>
  <si>
    <t>Qtd_Não_Vendida</t>
  </si>
  <si>
    <t>Valor_Total_Vendido_MZN</t>
  </si>
  <si>
    <t>Estabeleceu_novos_contactos_ligações_de_mercado?_OUT3_01</t>
  </si>
  <si>
    <t>Evidência de aplicação_de habilidades_no_negócio?_OUT1_01</t>
  </si>
  <si>
    <t>Observações_Descrição_das_novas_oportunidades</t>
  </si>
  <si>
    <t>24.06.2026</t>
  </si>
  <si>
    <t>Monapo</t>
  </si>
  <si>
    <t>Monapo (Jardim Infantil/Tribuna)</t>
  </si>
  <si>
    <r>
      <t>Vina Sebasti</t>
    </r>
    <r>
      <rPr>
        <sz val="9"/>
        <color rgb="FF000000"/>
        <rFont val="Aptos Narrow"/>
        <family val="2"/>
      </rPr>
      <t>ã</t>
    </r>
    <r>
      <rPr>
        <sz val="9"/>
        <color rgb="FF000000"/>
        <rFont val="Arial"/>
        <family val="2"/>
      </rPr>
      <t>o</t>
    </r>
  </si>
  <si>
    <t>Ana Majito</t>
  </si>
  <si>
    <t>Murromone</t>
  </si>
  <si>
    <t>venda de Produtos</t>
  </si>
  <si>
    <t>ainda em fase de evolucao</t>
  </si>
  <si>
    <t>Assina Castro</t>
  </si>
  <si>
    <t>Muelege</t>
  </si>
  <si>
    <t>Alim. confeccionado/preparado</t>
  </si>
  <si>
    <t>venda de Sanana</t>
  </si>
  <si>
    <t>Ainda em fase de evolucao</t>
  </si>
  <si>
    <r>
      <t>Juma Jo</t>
    </r>
    <r>
      <rPr>
        <sz val="9"/>
        <color rgb="FF000000"/>
        <rFont val="Aptos Narrow"/>
        <family val="2"/>
      </rPr>
      <t>ã</t>
    </r>
    <r>
      <rPr>
        <sz val="9"/>
        <color rgb="FF000000"/>
        <rFont val="Arial"/>
        <family val="2"/>
      </rPr>
      <t>o</t>
    </r>
  </si>
  <si>
    <t>Nacololo</t>
  </si>
  <si>
    <t xml:space="preserve">Venda de Banana </t>
  </si>
  <si>
    <t xml:space="preserve">O negocio tem muita aderencia </t>
  </si>
  <si>
    <t>Idalina Mussa</t>
  </si>
  <si>
    <t>Batata doce</t>
  </si>
  <si>
    <t>Antonio Armando</t>
  </si>
  <si>
    <r>
      <t>Ali</t>
    </r>
    <r>
      <rPr>
        <sz val="9"/>
        <color theme="1" tint="4.9989318521683403E-2"/>
        <rFont val="Arial"/>
        <family val="2"/>
      </rPr>
      <t>m. não perecível (revend</t>
    </r>
    <r>
      <rPr>
        <sz val="9"/>
        <color rgb="FF000000"/>
        <rFont val="Arial"/>
        <family val="2"/>
      </rPr>
      <t>a)</t>
    </r>
  </si>
  <si>
    <t>Venda de Laranja</t>
  </si>
  <si>
    <t xml:space="preserve">O Negocio tem muita aderencia </t>
  </si>
  <si>
    <t>Amina Constantino</t>
  </si>
  <si>
    <t>Netia</t>
  </si>
  <si>
    <t>Cremilda Arlindo</t>
  </si>
  <si>
    <t>Mutocone</t>
  </si>
  <si>
    <t>Feijao Cute</t>
  </si>
  <si>
    <r>
      <t>Esperan</t>
    </r>
    <r>
      <rPr>
        <sz val="9"/>
        <color rgb="FF000000"/>
        <rFont val="Aptos Narrow"/>
        <family val="2"/>
      </rPr>
      <t>ç</t>
    </r>
    <r>
      <rPr>
        <sz val="9"/>
        <color rgb="FF000000"/>
        <rFont val="Arial"/>
        <family val="2"/>
      </rPr>
      <t>a Armando</t>
    </r>
  </si>
  <si>
    <t>Arlindo Alfredo</t>
  </si>
  <si>
    <t>Canacue</t>
  </si>
  <si>
    <t>Gergelim</t>
  </si>
  <si>
    <t>Selemane Assuate</t>
  </si>
  <si>
    <t>Murruto</t>
  </si>
  <si>
    <t>Milho</t>
  </si>
  <si>
    <t>Sofia Frederico</t>
  </si>
  <si>
    <r>
      <t>Monapo</t>
    </r>
    <r>
      <rPr>
        <sz val="9"/>
        <color rgb="FF000000"/>
        <rFont val="Aptos"/>
        <family val="2"/>
        <charset val="1"/>
      </rPr>
      <t>-</t>
    </r>
    <r>
      <rPr>
        <sz val="9"/>
        <color rgb="FF000000"/>
        <rFont val="Arial"/>
        <family val="2"/>
      </rPr>
      <t>Sede</t>
    </r>
  </si>
  <si>
    <t>Yougurte de Malambe</t>
  </si>
  <si>
    <t>24.06.2036</t>
  </si>
  <si>
    <t>Joao Ernestio Mussa</t>
  </si>
  <si>
    <t>Ofensiva</t>
  </si>
  <si>
    <t>Joaquim Razaonel</t>
  </si>
  <si>
    <t>Nicane</t>
  </si>
  <si>
    <t>Juvencio Antonio</t>
  </si>
  <si>
    <t>Bento Paulo</t>
  </si>
  <si>
    <t>Margarida Salimo</t>
  </si>
  <si>
    <t>Vina Sebastião</t>
  </si>
  <si>
    <t>Fatima Constantino</t>
  </si>
  <si>
    <t>Dino Simao</t>
  </si>
  <si>
    <t>Itoculo</t>
  </si>
  <si>
    <t>Soja</t>
  </si>
  <si>
    <t>Agira Paulo</t>
  </si>
  <si>
    <t>Carlitos francisco</t>
  </si>
  <si>
    <t>Monapo-Sede</t>
  </si>
  <si>
    <t>Aristides Natalio</t>
  </si>
  <si>
    <t>Samuel Mario</t>
  </si>
  <si>
    <t>Nicolao Abdul</t>
  </si>
  <si>
    <t>Napala</t>
  </si>
  <si>
    <t>Ede Abdul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</si>
</sst>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i/>
      <sz val="8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  <charset val="1"/>
    </font>
    <font>
      <sz val="11"/>
      <color theme="1"/>
      <name val="Calibri"/>
      <family val="2"/>
      <charset val="1"/>
    </font>
    <font>
      <sz val="9"/>
      <color rgb="FF000000"/>
      <name val="Aptos Narrow"/>
      <family val="2"/>
    </font>
    <font>
      <sz val="9"/>
      <color theme="1" tint="4.9989318521683403E-2"/>
      <name val="Arial"/>
      <family val="2"/>
    </font>
    <font>
      <sz val="9"/>
      <color rgb="FF000000"/>
      <name val="Aptos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B3A4B"/>
        <bgColor rgb="FF154360"/>
      </patternFill>
    </fill>
    <fill>
      <patternFill patternType="solid">
        <fgColor rgb="FF2E6DA4"/>
        <bgColor rgb="FF3366FF"/>
      </patternFill>
    </fill>
    <fill>
      <patternFill patternType="solid">
        <fgColor rgb="FF154360"/>
        <bgColor rgb="FF1B3A4B"/>
      </patternFill>
    </fill>
    <fill>
      <patternFill patternType="solid">
        <fgColor rgb="FFEBF5FB"/>
        <bgColor rgb="FFEAF2FF"/>
      </patternFill>
    </fill>
    <fill>
      <patternFill patternType="solid">
        <fgColor rgb="FFD5F5E3"/>
        <bgColor rgb="FFD6EAF8"/>
      </patternFill>
    </fill>
    <fill>
      <patternFill patternType="solid">
        <fgColor rgb="FFFDF2E9"/>
        <bgColor rgb="FFFEF9E7"/>
      </patternFill>
    </fill>
    <fill>
      <patternFill patternType="solid">
        <fgColor rgb="FFFEF9E7"/>
        <bgColor rgb="FFFDF2E9"/>
      </patternFill>
    </fill>
    <fill>
      <patternFill patternType="solid">
        <fgColor rgb="FFFAFAFA"/>
        <bgColor rgb="FFF8F9FA"/>
      </patternFill>
    </fill>
    <fill>
      <patternFill patternType="solid">
        <fgColor rgb="FFEAF2FF"/>
        <bgColor rgb="FFEBF5FB"/>
      </patternFill>
    </fill>
    <fill>
      <patternFill patternType="solid">
        <fgColor rgb="FFD6EAF8"/>
        <bgColor rgb="FFD5F5E3"/>
      </patternFill>
    </fill>
    <fill>
      <patternFill patternType="solid">
        <fgColor rgb="FFF8F9FA"/>
        <bgColor rgb="FFFAFAFA"/>
      </patternFill>
    </fill>
    <fill>
      <patternFill patternType="solid">
        <fgColor rgb="FFFFFF00"/>
        <bgColor rgb="FFEAF2FF"/>
      </patternFill>
    </fill>
    <fill>
      <patternFill patternType="solid">
        <fgColor rgb="FFFFFF00"/>
        <bgColor rgb="FFF8F9FA"/>
      </patternFill>
    </fill>
    <fill>
      <patternFill patternType="solid">
        <fgColor rgb="FFFFFF00"/>
        <bgColor rgb="FFD6EAF8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9" fontId="7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9" fontId="7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3" fontId="7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9" fontId="7" fillId="11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9" fontId="4" fillId="15" borderId="1" xfId="0" applyNumberFormat="1" applyFont="1" applyFill="1" applyBorder="1" applyAlignment="1">
      <alignment horizontal="center" vertical="center"/>
    </xf>
    <xf numFmtId="9" fontId="9" fillId="6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FEFE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EF9E7"/>
      <rgbColor rgb="FFD6EAF8"/>
      <rgbColor rgb="FF660066"/>
      <rgbColor rgb="FFFF8080"/>
      <rgbColor rgb="FF2E6DA4"/>
      <rgbColor rgb="FFEAF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7EF"/>
      <rgbColor rgb="FFD5F5E3"/>
      <rgbColor rgb="FFFDF2E9"/>
      <rgbColor rgb="FFEBF5FB"/>
      <rgbColor rgb="FFF8F9FA"/>
      <rgbColor rgb="FFFAFAFA"/>
      <rgbColor rgb="FFF5F5F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4360"/>
      <rgbColor rgb="FF1E8449"/>
      <rgbColor rgb="FF003300"/>
      <rgbColor rgb="FF333300"/>
      <rgbColor rgb="FF993300"/>
      <rgbColor rgb="FF993366"/>
      <rgbColor rgb="FF333399"/>
      <rgbColor rgb="FF1B3A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4B"/>
  </sheetPr>
  <dimension ref="A1:S41"/>
  <sheetViews>
    <sheetView showGridLines="0" tabSelected="1" topLeftCell="C1" zoomScaleNormal="100" workbookViewId="0">
      <pane ySplit="1" topLeftCell="A14" activePane="bottomLeft" state="frozen"/>
      <selection pane="bottomLeft" activeCell="D39" sqref="D39:D41"/>
    </sheetView>
  </sheetViews>
  <sheetFormatPr defaultColWidth="8.5546875" defaultRowHeight="14.4" x14ac:dyDescent="0.3"/>
  <cols>
    <col min="1" max="1" width="32" customWidth="1"/>
    <col min="2" max="2" width="12" customWidth="1"/>
    <col min="3" max="3" width="16" customWidth="1"/>
    <col min="4" max="4" width="16.88671875" bestFit="1" customWidth="1"/>
    <col min="5" max="5" width="12" customWidth="1"/>
    <col min="6" max="6" width="20" customWidth="1"/>
    <col min="7" max="7" width="8" customWidth="1"/>
    <col min="8" max="8" width="16" customWidth="1"/>
    <col min="9" max="9" width="24.33203125" bestFit="1" customWidth="1"/>
    <col min="10" max="10" width="18" customWidth="1"/>
    <col min="11" max="13" width="11" customWidth="1"/>
    <col min="14" max="14" width="9" customWidth="1"/>
    <col min="15" max="15" width="11" customWidth="1"/>
    <col min="16" max="16" width="14" customWidth="1"/>
    <col min="17" max="17" width="16" customWidth="1"/>
    <col min="18" max="18" width="27.88671875" bestFit="1" customWidth="1"/>
    <col min="19" max="19" width="28" customWidth="1"/>
  </cols>
  <sheetData>
    <row r="1" spans="1:19" ht="43.5" customHeight="1" x14ac:dyDescent="0.3">
      <c r="A1" s="1" t="s">
        <v>112</v>
      </c>
      <c r="B1" s="1" t="s">
        <v>0</v>
      </c>
      <c r="C1" s="1" t="s">
        <v>113</v>
      </c>
      <c r="D1" s="1" t="s">
        <v>114</v>
      </c>
      <c r="E1" s="1" t="s">
        <v>1</v>
      </c>
      <c r="F1" s="1" t="s">
        <v>115</v>
      </c>
      <c r="G1" s="1" t="s">
        <v>2</v>
      </c>
      <c r="H1" s="1" t="s">
        <v>116</v>
      </c>
      <c r="I1" s="1" t="s">
        <v>117</v>
      </c>
      <c r="J1" s="1" t="s">
        <v>118</v>
      </c>
      <c r="K1" s="1" t="s">
        <v>120</v>
      </c>
      <c r="L1" s="1" t="s">
        <v>119</v>
      </c>
      <c r="M1" s="1" t="s">
        <v>121</v>
      </c>
      <c r="N1" s="1" t="s">
        <v>3</v>
      </c>
      <c r="O1" s="1" t="s">
        <v>4</v>
      </c>
      <c r="P1" s="1" t="s">
        <v>122</v>
      </c>
      <c r="Q1" s="1" t="s">
        <v>123</v>
      </c>
      <c r="R1" s="1" t="s">
        <v>124</v>
      </c>
      <c r="S1" s="1" t="s">
        <v>125</v>
      </c>
    </row>
    <row r="2" spans="1:19" ht="13.5" customHeight="1" x14ac:dyDescent="0.3">
      <c r="A2" s="33" t="s">
        <v>52</v>
      </c>
      <c r="B2" s="33" t="s">
        <v>53</v>
      </c>
      <c r="C2" s="33" t="s">
        <v>54</v>
      </c>
      <c r="D2" s="33" t="s">
        <v>55</v>
      </c>
      <c r="E2" s="33"/>
      <c r="F2" s="33" t="s">
        <v>56</v>
      </c>
      <c r="G2" s="33" t="s">
        <v>57</v>
      </c>
      <c r="H2" s="33" t="s">
        <v>58</v>
      </c>
      <c r="I2" s="33" t="s">
        <v>59</v>
      </c>
      <c r="J2" s="33" t="s">
        <v>60</v>
      </c>
      <c r="K2" s="33">
        <v>120</v>
      </c>
      <c r="L2" s="33">
        <v>120</v>
      </c>
      <c r="M2" s="34">
        <f>K2-L2</f>
        <v>0</v>
      </c>
      <c r="N2" s="56">
        <f>IF(K2=0, 0, L2/K2)</f>
        <v>1</v>
      </c>
      <c r="O2" s="33">
        <v>50</v>
      </c>
      <c r="P2" s="35">
        <f>O2*L2</f>
        <v>6000</v>
      </c>
      <c r="Q2" s="36" t="s">
        <v>61</v>
      </c>
      <c r="R2" s="37" t="s">
        <v>62</v>
      </c>
      <c r="S2" s="38" t="s">
        <v>63</v>
      </c>
    </row>
    <row r="3" spans="1:19" ht="22.8" x14ac:dyDescent="0.3">
      <c r="A3" s="39" t="s">
        <v>52</v>
      </c>
      <c r="B3" s="33" t="s">
        <v>53</v>
      </c>
      <c r="C3" s="39" t="s">
        <v>54</v>
      </c>
      <c r="D3" s="39" t="s">
        <v>55</v>
      </c>
      <c r="E3" s="39"/>
      <c r="F3" s="39" t="s">
        <v>64</v>
      </c>
      <c r="G3" s="39" t="s">
        <v>57</v>
      </c>
      <c r="H3" s="39" t="s">
        <v>65</v>
      </c>
      <c r="I3" s="39" t="s">
        <v>5</v>
      </c>
      <c r="J3" s="39" t="s">
        <v>66</v>
      </c>
      <c r="K3" s="39">
        <v>21</v>
      </c>
      <c r="L3" s="39">
        <v>0</v>
      </c>
      <c r="M3" s="34">
        <f t="shared" ref="M3:M18" si="0">K3-L3</f>
        <v>21</v>
      </c>
      <c r="N3" s="56">
        <f>IF(K3=0, 0, L3/K3)</f>
        <v>0</v>
      </c>
      <c r="O3" s="39">
        <v>250</v>
      </c>
      <c r="P3" s="35">
        <f t="shared" ref="P3:P18" si="1">O3*L3</f>
        <v>0</v>
      </c>
      <c r="Q3" s="36" t="s">
        <v>67</v>
      </c>
      <c r="R3" s="37" t="s">
        <v>68</v>
      </c>
      <c r="S3" s="40" t="s">
        <v>69</v>
      </c>
    </row>
    <row r="4" spans="1:19" ht="13.5" customHeight="1" x14ac:dyDescent="0.3">
      <c r="A4" s="33" t="s">
        <v>52</v>
      </c>
      <c r="B4" s="33" t="s">
        <v>53</v>
      </c>
      <c r="C4" s="33" t="s">
        <v>54</v>
      </c>
      <c r="D4" s="33" t="s">
        <v>55</v>
      </c>
      <c r="E4" s="33"/>
      <c r="F4" s="33" t="s">
        <v>70</v>
      </c>
      <c r="G4" s="33" t="s">
        <v>57</v>
      </c>
      <c r="H4" s="33" t="s">
        <v>65</v>
      </c>
      <c r="I4" s="33" t="s">
        <v>71</v>
      </c>
      <c r="J4" s="33" t="s">
        <v>72</v>
      </c>
      <c r="K4" s="33">
        <v>6</v>
      </c>
      <c r="L4" s="33">
        <v>6</v>
      </c>
      <c r="M4" s="34">
        <f t="shared" si="0"/>
        <v>0</v>
      </c>
      <c r="N4" s="56">
        <f>IF(K4=0, 0, L4/K4)</f>
        <v>1</v>
      </c>
      <c r="O4" s="33">
        <v>20</v>
      </c>
      <c r="P4" s="35">
        <f t="shared" si="1"/>
        <v>120</v>
      </c>
      <c r="Q4" s="36" t="s">
        <v>61</v>
      </c>
      <c r="R4" s="37" t="s">
        <v>62</v>
      </c>
      <c r="S4" s="38" t="s">
        <v>63</v>
      </c>
    </row>
    <row r="5" spans="1:19" ht="13.5" customHeight="1" x14ac:dyDescent="0.3">
      <c r="A5" s="39" t="s">
        <v>52</v>
      </c>
      <c r="B5" s="33" t="s">
        <v>53</v>
      </c>
      <c r="C5" s="39" t="s">
        <v>54</v>
      </c>
      <c r="D5" s="39" t="s">
        <v>73</v>
      </c>
      <c r="E5" s="39"/>
      <c r="F5" s="39" t="s">
        <v>74</v>
      </c>
      <c r="G5" s="39" t="s">
        <v>57</v>
      </c>
      <c r="H5" s="39" t="s">
        <v>75</v>
      </c>
      <c r="I5" s="39" t="s">
        <v>76</v>
      </c>
      <c r="J5" s="39" t="s">
        <v>77</v>
      </c>
      <c r="K5" s="39">
        <v>300</v>
      </c>
      <c r="L5" s="39">
        <v>270</v>
      </c>
      <c r="M5" s="34">
        <f t="shared" si="0"/>
        <v>30</v>
      </c>
      <c r="N5" s="56">
        <f>IF(K5=0, 0, L5/K5)</f>
        <v>0.9</v>
      </c>
      <c r="O5" s="39">
        <v>20</v>
      </c>
      <c r="P5" s="35">
        <f t="shared" si="1"/>
        <v>5400</v>
      </c>
      <c r="Q5" s="36" t="s">
        <v>61</v>
      </c>
      <c r="R5" s="37" t="s">
        <v>78</v>
      </c>
      <c r="S5" s="40" t="s">
        <v>79</v>
      </c>
    </row>
    <row r="6" spans="1:19" ht="13.5" customHeight="1" x14ac:dyDescent="0.3">
      <c r="A6" s="33" t="s">
        <v>52</v>
      </c>
      <c r="B6" s="33" t="s">
        <v>53</v>
      </c>
      <c r="C6" s="33" t="s">
        <v>54</v>
      </c>
      <c r="D6" s="33" t="s">
        <v>55</v>
      </c>
      <c r="E6" s="33"/>
      <c r="F6" s="33" t="s">
        <v>80</v>
      </c>
      <c r="G6" s="33" t="s">
        <v>81</v>
      </c>
      <c r="H6" s="33" t="s">
        <v>65</v>
      </c>
      <c r="I6" s="33" t="s">
        <v>71</v>
      </c>
      <c r="J6" s="33" t="s">
        <v>72</v>
      </c>
      <c r="K6" s="33">
        <v>12</v>
      </c>
      <c r="L6" s="33">
        <v>12</v>
      </c>
      <c r="M6" s="34">
        <f t="shared" si="0"/>
        <v>0</v>
      </c>
      <c r="N6" s="56">
        <f>IF(K6=0, 0, L6/K6)</f>
        <v>1</v>
      </c>
      <c r="O6" s="33">
        <v>20</v>
      </c>
      <c r="P6" s="35">
        <f t="shared" si="1"/>
        <v>240</v>
      </c>
      <c r="Q6" s="36" t="s">
        <v>61</v>
      </c>
      <c r="R6" s="37" t="s">
        <v>62</v>
      </c>
      <c r="S6" s="38" t="s">
        <v>63</v>
      </c>
    </row>
    <row r="7" spans="1:19" ht="13.5" customHeight="1" x14ac:dyDescent="0.3">
      <c r="A7" s="39" t="s">
        <v>52</v>
      </c>
      <c r="B7" s="33" t="s">
        <v>53</v>
      </c>
      <c r="C7" s="39" t="s">
        <v>54</v>
      </c>
      <c r="D7" s="39" t="s">
        <v>55</v>
      </c>
      <c r="E7" s="39"/>
      <c r="F7" s="39" t="s">
        <v>82</v>
      </c>
      <c r="G7" s="39" t="s">
        <v>57</v>
      </c>
      <c r="H7" s="39" t="s">
        <v>83</v>
      </c>
      <c r="I7" s="39" t="s">
        <v>59</v>
      </c>
      <c r="J7" s="39" t="s">
        <v>60</v>
      </c>
      <c r="K7" s="39">
        <v>84</v>
      </c>
      <c r="L7" s="39">
        <v>84</v>
      </c>
      <c r="M7" s="34">
        <f t="shared" si="0"/>
        <v>0</v>
      </c>
      <c r="N7" s="56">
        <f>IF(K7=0, 0, L7/K7)</f>
        <v>1</v>
      </c>
      <c r="O7" s="39">
        <v>50</v>
      </c>
      <c r="P7" s="35">
        <f t="shared" si="1"/>
        <v>4200</v>
      </c>
      <c r="Q7" s="36" t="s">
        <v>61</v>
      </c>
      <c r="R7" s="37" t="s">
        <v>62</v>
      </c>
      <c r="S7" s="40" t="s">
        <v>63</v>
      </c>
    </row>
    <row r="8" spans="1:19" ht="13.5" customHeight="1" x14ac:dyDescent="0.3">
      <c r="A8" s="33" t="s">
        <v>52</v>
      </c>
      <c r="B8" s="33" t="s">
        <v>53</v>
      </c>
      <c r="C8" s="33" t="s">
        <v>54</v>
      </c>
      <c r="D8" s="33" t="s">
        <v>73</v>
      </c>
      <c r="E8" s="33"/>
      <c r="F8" s="33" t="s">
        <v>84</v>
      </c>
      <c r="G8" s="33" t="s">
        <v>57</v>
      </c>
      <c r="H8" s="33" t="s">
        <v>85</v>
      </c>
      <c r="I8" s="33" t="s">
        <v>59</v>
      </c>
      <c r="J8" s="33" t="s">
        <v>60</v>
      </c>
      <c r="K8" s="33">
        <v>64</v>
      </c>
      <c r="L8" s="33">
        <v>64</v>
      </c>
      <c r="M8" s="34">
        <f t="shared" si="0"/>
        <v>0</v>
      </c>
      <c r="N8" s="56">
        <f>IF(K8=0, 0, L8/K8)</f>
        <v>1</v>
      </c>
      <c r="O8" s="33">
        <v>50</v>
      </c>
      <c r="P8" s="35">
        <f t="shared" si="1"/>
        <v>3200</v>
      </c>
      <c r="Q8" s="36" t="s">
        <v>61</v>
      </c>
      <c r="R8" s="37" t="s">
        <v>62</v>
      </c>
      <c r="S8" s="38" t="s">
        <v>63</v>
      </c>
    </row>
    <row r="9" spans="1:19" ht="13.5" customHeight="1" x14ac:dyDescent="0.3">
      <c r="A9" s="39" t="s">
        <v>52</v>
      </c>
      <c r="B9" s="33" t="s">
        <v>53</v>
      </c>
      <c r="C9" s="39" t="s">
        <v>54</v>
      </c>
      <c r="D9" s="39" t="s">
        <v>73</v>
      </c>
      <c r="E9" s="39"/>
      <c r="F9" s="39" t="s">
        <v>86</v>
      </c>
      <c r="G9" s="39" t="s">
        <v>57</v>
      </c>
      <c r="H9" s="39" t="s">
        <v>87</v>
      </c>
      <c r="I9" s="39" t="s">
        <v>59</v>
      </c>
      <c r="J9" s="39" t="s">
        <v>88</v>
      </c>
      <c r="K9" s="39">
        <v>24</v>
      </c>
      <c r="L9" s="39">
        <v>24</v>
      </c>
      <c r="M9" s="34">
        <f t="shared" si="0"/>
        <v>0</v>
      </c>
      <c r="N9" s="56">
        <f>IF(K9=0, 0, L9/K9)</f>
        <v>1</v>
      </c>
      <c r="O9" s="39">
        <v>50</v>
      </c>
      <c r="P9" s="35">
        <f t="shared" si="1"/>
        <v>1200</v>
      </c>
      <c r="Q9" s="36" t="s">
        <v>61</v>
      </c>
      <c r="R9" s="37" t="s">
        <v>62</v>
      </c>
      <c r="S9" s="40" t="s">
        <v>63</v>
      </c>
    </row>
    <row r="10" spans="1:19" ht="13.5" customHeight="1" x14ac:dyDescent="0.3">
      <c r="A10" s="33" t="s">
        <v>52</v>
      </c>
      <c r="B10" s="33" t="s">
        <v>53</v>
      </c>
      <c r="C10" s="33" t="s">
        <v>54</v>
      </c>
      <c r="D10" s="33" t="s">
        <v>89</v>
      </c>
      <c r="E10" s="33"/>
      <c r="F10" s="33" t="s">
        <v>90</v>
      </c>
      <c r="G10" s="33" t="s">
        <v>57</v>
      </c>
      <c r="H10" s="33" t="s">
        <v>91</v>
      </c>
      <c r="I10" s="33" t="s">
        <v>59</v>
      </c>
      <c r="J10" s="33" t="s">
        <v>60</v>
      </c>
      <c r="K10" s="33">
        <v>102</v>
      </c>
      <c r="L10" s="33">
        <v>102</v>
      </c>
      <c r="M10" s="34">
        <f t="shared" si="0"/>
        <v>0</v>
      </c>
      <c r="N10" s="56">
        <f>IF(K10=0, 0, L10/K10)</f>
        <v>1</v>
      </c>
      <c r="O10" s="33">
        <v>50</v>
      </c>
      <c r="P10" s="35">
        <f t="shared" si="1"/>
        <v>5100</v>
      </c>
      <c r="Q10" s="36" t="s">
        <v>61</v>
      </c>
      <c r="R10" s="37" t="s">
        <v>62</v>
      </c>
      <c r="S10" s="38" t="s">
        <v>63</v>
      </c>
    </row>
    <row r="11" spans="1:19" ht="13.5" customHeight="1" x14ac:dyDescent="0.3">
      <c r="A11" s="39" t="s">
        <v>52</v>
      </c>
      <c r="B11" s="33" t="s">
        <v>53</v>
      </c>
      <c r="C11" s="39" t="s">
        <v>54</v>
      </c>
      <c r="D11" s="39" t="s">
        <v>89</v>
      </c>
      <c r="E11" s="39"/>
      <c r="F11" s="39" t="s">
        <v>92</v>
      </c>
      <c r="G11" s="39" t="s">
        <v>57</v>
      </c>
      <c r="H11" s="39" t="s">
        <v>85</v>
      </c>
      <c r="I11" s="39" t="s">
        <v>59</v>
      </c>
      <c r="J11" s="39" t="s">
        <v>93</v>
      </c>
      <c r="K11" s="39">
        <v>5</v>
      </c>
      <c r="L11" s="39">
        <v>5</v>
      </c>
      <c r="M11" s="34">
        <f t="shared" si="0"/>
        <v>0</v>
      </c>
      <c r="N11" s="56">
        <f>IF(K11=0, 0, L11/K11)</f>
        <v>1</v>
      </c>
      <c r="O11" s="39">
        <v>320</v>
      </c>
      <c r="P11" s="35">
        <f t="shared" si="1"/>
        <v>1600</v>
      </c>
      <c r="Q11" s="36" t="s">
        <v>61</v>
      </c>
      <c r="R11" s="37" t="s">
        <v>62</v>
      </c>
      <c r="S11" s="40" t="s">
        <v>94</v>
      </c>
    </row>
    <row r="12" spans="1:19" ht="13.5" customHeight="1" x14ac:dyDescent="0.3">
      <c r="A12" s="33" t="s">
        <v>52</v>
      </c>
      <c r="B12" s="33" t="s">
        <v>53</v>
      </c>
      <c r="C12" s="33" t="s">
        <v>54</v>
      </c>
      <c r="D12" s="33" t="s">
        <v>73</v>
      </c>
      <c r="E12" s="33"/>
      <c r="F12" s="33" t="s">
        <v>95</v>
      </c>
      <c r="G12" s="33" t="s">
        <v>57</v>
      </c>
      <c r="H12" s="33" t="s">
        <v>87</v>
      </c>
      <c r="I12" s="33" t="s">
        <v>59</v>
      </c>
      <c r="J12" s="33" t="s">
        <v>96</v>
      </c>
      <c r="K12" s="33">
        <v>1</v>
      </c>
      <c r="L12" s="33">
        <v>1</v>
      </c>
      <c r="M12" s="34">
        <f t="shared" si="0"/>
        <v>0</v>
      </c>
      <c r="N12" s="56">
        <f>IF(K12=0, 0, L12/K12)</f>
        <v>1</v>
      </c>
      <c r="O12" s="33">
        <v>450</v>
      </c>
      <c r="P12" s="35">
        <f t="shared" si="1"/>
        <v>450</v>
      </c>
      <c r="Q12" s="36" t="s">
        <v>61</v>
      </c>
      <c r="R12" s="37" t="s">
        <v>62</v>
      </c>
      <c r="S12" s="38" t="s">
        <v>63</v>
      </c>
    </row>
    <row r="13" spans="1:19" ht="13.5" customHeight="1" x14ac:dyDescent="0.3">
      <c r="A13" s="39" t="s">
        <v>52</v>
      </c>
      <c r="B13" s="33" t="s">
        <v>53</v>
      </c>
      <c r="C13" s="39" t="s">
        <v>54</v>
      </c>
      <c r="D13" s="39" t="s">
        <v>55</v>
      </c>
      <c r="E13" s="39"/>
      <c r="F13" s="39" t="s">
        <v>97</v>
      </c>
      <c r="G13" s="39" t="s">
        <v>57</v>
      </c>
      <c r="H13" s="39" t="s">
        <v>58</v>
      </c>
      <c r="I13" s="39" t="s">
        <v>6</v>
      </c>
      <c r="J13" s="39" t="s">
        <v>98</v>
      </c>
      <c r="K13" s="39">
        <v>114</v>
      </c>
      <c r="L13" s="39">
        <v>114</v>
      </c>
      <c r="M13" s="34">
        <f t="shared" si="0"/>
        <v>0</v>
      </c>
      <c r="N13" s="56">
        <f>IF(K13=0, 0, L13/K13)</f>
        <v>1</v>
      </c>
      <c r="O13" s="39">
        <v>40</v>
      </c>
      <c r="P13" s="35">
        <f t="shared" si="1"/>
        <v>4560</v>
      </c>
      <c r="Q13" s="36" t="s">
        <v>61</v>
      </c>
      <c r="R13" s="37" t="s">
        <v>62</v>
      </c>
      <c r="S13" s="40" t="s">
        <v>63</v>
      </c>
    </row>
    <row r="14" spans="1:19" ht="13.5" customHeight="1" x14ac:dyDescent="0.3">
      <c r="A14" s="33" t="s">
        <v>52</v>
      </c>
      <c r="B14" s="33" t="s">
        <v>53</v>
      </c>
      <c r="C14" s="33" t="s">
        <v>54</v>
      </c>
      <c r="D14" s="33" t="s">
        <v>55</v>
      </c>
      <c r="E14" s="33"/>
      <c r="F14" s="33" t="s">
        <v>99</v>
      </c>
      <c r="G14" s="33" t="s">
        <v>81</v>
      </c>
      <c r="H14" s="33" t="s">
        <v>65</v>
      </c>
      <c r="I14" s="33" t="s">
        <v>6</v>
      </c>
      <c r="J14" s="33" t="s">
        <v>100</v>
      </c>
      <c r="K14" s="33">
        <v>44</v>
      </c>
      <c r="L14" s="33">
        <v>41</v>
      </c>
      <c r="M14" s="34">
        <f t="shared" si="0"/>
        <v>3</v>
      </c>
      <c r="N14" s="56">
        <f>IF(K14=0, 0, L14/K14)</f>
        <v>0.93181818181818177</v>
      </c>
      <c r="O14" s="33">
        <v>20</v>
      </c>
      <c r="P14" s="35">
        <f t="shared" si="1"/>
        <v>820</v>
      </c>
      <c r="Q14" s="36" t="s">
        <v>61</v>
      </c>
      <c r="R14" s="37" t="s">
        <v>62</v>
      </c>
      <c r="S14" s="38" t="s">
        <v>63</v>
      </c>
    </row>
    <row r="15" spans="1:19" ht="13.5" customHeight="1" x14ac:dyDescent="0.3">
      <c r="A15" s="39" t="s">
        <v>52</v>
      </c>
      <c r="B15" s="33" t="s">
        <v>53</v>
      </c>
      <c r="C15" s="39" t="s">
        <v>54</v>
      </c>
      <c r="D15" s="39" t="s">
        <v>55</v>
      </c>
      <c r="E15" s="39"/>
      <c r="F15" s="39" t="s">
        <v>101</v>
      </c>
      <c r="G15" s="39" t="s">
        <v>57</v>
      </c>
      <c r="H15" s="39" t="s">
        <v>65</v>
      </c>
      <c r="I15" s="39" t="s">
        <v>59</v>
      </c>
      <c r="J15" s="39" t="s">
        <v>102</v>
      </c>
      <c r="K15" s="39">
        <v>75</v>
      </c>
      <c r="L15" s="39">
        <v>75</v>
      </c>
      <c r="M15" s="34">
        <f t="shared" si="0"/>
        <v>0</v>
      </c>
      <c r="N15" s="56">
        <f>IF(K15=0, 0, L15/K15)</f>
        <v>1</v>
      </c>
      <c r="O15" s="39">
        <v>45</v>
      </c>
      <c r="P15" s="35">
        <f t="shared" si="1"/>
        <v>3375</v>
      </c>
      <c r="Q15" s="36" t="s">
        <v>61</v>
      </c>
      <c r="R15" s="37" t="s">
        <v>62</v>
      </c>
      <c r="S15" s="40" t="s">
        <v>63</v>
      </c>
    </row>
    <row r="16" spans="1:19" ht="13.5" customHeight="1" x14ac:dyDescent="0.3">
      <c r="A16" s="33" t="s">
        <v>52</v>
      </c>
      <c r="B16" s="33" t="s">
        <v>53</v>
      </c>
      <c r="C16" s="33" t="s">
        <v>54</v>
      </c>
      <c r="D16" s="33" t="s">
        <v>103</v>
      </c>
      <c r="E16" s="33"/>
      <c r="F16" s="33" t="s">
        <v>104</v>
      </c>
      <c r="G16" s="33" t="s">
        <v>57</v>
      </c>
      <c r="H16" s="33" t="s">
        <v>105</v>
      </c>
      <c r="I16" s="33" t="s">
        <v>59</v>
      </c>
      <c r="J16" s="33" t="s">
        <v>102</v>
      </c>
      <c r="K16" s="33">
        <v>80</v>
      </c>
      <c r="L16" s="33">
        <v>0</v>
      </c>
      <c r="M16" s="34">
        <f t="shared" si="0"/>
        <v>80</v>
      </c>
      <c r="N16" s="56">
        <f>IF(K16=0, 0, L16/K16)</f>
        <v>0</v>
      </c>
      <c r="O16" s="33">
        <v>40</v>
      </c>
      <c r="P16" s="35">
        <f t="shared" si="1"/>
        <v>0</v>
      </c>
      <c r="Q16" s="36" t="s">
        <v>67</v>
      </c>
      <c r="R16" s="37" t="s">
        <v>67</v>
      </c>
      <c r="S16" s="38" t="s">
        <v>106</v>
      </c>
    </row>
    <row r="17" spans="1:19" ht="13.5" customHeight="1" x14ac:dyDescent="0.3">
      <c r="A17" s="39" t="s">
        <v>52</v>
      </c>
      <c r="B17" s="33" t="s">
        <v>53</v>
      </c>
      <c r="C17" s="39" t="s">
        <v>54</v>
      </c>
      <c r="D17" s="39" t="s">
        <v>103</v>
      </c>
      <c r="E17" s="39"/>
      <c r="F17" s="39" t="s">
        <v>107</v>
      </c>
      <c r="G17" s="39" t="s">
        <v>57</v>
      </c>
      <c r="H17" s="39" t="s">
        <v>105</v>
      </c>
      <c r="I17" s="39" t="s">
        <v>71</v>
      </c>
      <c r="J17" s="39" t="s">
        <v>108</v>
      </c>
      <c r="K17" s="39">
        <v>20</v>
      </c>
      <c r="L17" s="39">
        <v>10</v>
      </c>
      <c r="M17" s="34">
        <f t="shared" si="0"/>
        <v>10</v>
      </c>
      <c r="N17" s="56">
        <f>IF(K17=0, 0, L17/K17)</f>
        <v>0.5</v>
      </c>
      <c r="O17" s="39">
        <v>10</v>
      </c>
      <c r="P17" s="35">
        <f t="shared" si="1"/>
        <v>100</v>
      </c>
      <c r="Q17" s="36" t="s">
        <v>61</v>
      </c>
      <c r="R17" s="37" t="s">
        <v>68</v>
      </c>
      <c r="S17" s="40" t="s">
        <v>109</v>
      </c>
    </row>
    <row r="18" spans="1:19" ht="13.5" customHeight="1" x14ac:dyDescent="0.3">
      <c r="A18" s="33" t="s">
        <v>52</v>
      </c>
      <c r="B18" s="33" t="s">
        <v>53</v>
      </c>
      <c r="C18" s="33" t="s">
        <v>54</v>
      </c>
      <c r="D18" s="33" t="s">
        <v>73</v>
      </c>
      <c r="E18" s="33"/>
      <c r="F18" s="33" t="s">
        <v>110</v>
      </c>
      <c r="G18" s="33" t="s">
        <v>81</v>
      </c>
      <c r="H18" s="33" t="s">
        <v>75</v>
      </c>
      <c r="I18" s="33" t="s">
        <v>71</v>
      </c>
      <c r="J18" s="33" t="s">
        <v>111</v>
      </c>
      <c r="K18" s="33">
        <v>130</v>
      </c>
      <c r="L18" s="33">
        <v>90</v>
      </c>
      <c r="M18" s="34">
        <f t="shared" si="0"/>
        <v>40</v>
      </c>
      <c r="N18" s="56">
        <f>IF(K18=0, 0, L18/K18)</f>
        <v>0.69230769230769229</v>
      </c>
      <c r="O18" s="33">
        <v>20</v>
      </c>
      <c r="P18" s="35">
        <f t="shared" si="1"/>
        <v>1800</v>
      </c>
      <c r="Q18" s="36" t="s">
        <v>61</v>
      </c>
      <c r="R18" s="37" t="s">
        <v>62</v>
      </c>
      <c r="S18" s="38" t="s">
        <v>63</v>
      </c>
    </row>
    <row r="19" spans="1:19" x14ac:dyDescent="0.3">
      <c r="A19" s="45" t="s">
        <v>126</v>
      </c>
      <c r="B19" s="33" t="s">
        <v>127</v>
      </c>
      <c r="C19" s="45" t="s">
        <v>128</v>
      </c>
      <c r="D19" s="45" t="s">
        <v>129</v>
      </c>
      <c r="E19" s="45"/>
      <c r="F19" s="45" t="s">
        <v>130</v>
      </c>
      <c r="G19" s="45" t="s">
        <v>81</v>
      </c>
      <c r="H19" s="45" t="s">
        <v>131</v>
      </c>
      <c r="I19" s="45" t="s">
        <v>76</v>
      </c>
      <c r="J19" s="45" t="s">
        <v>132</v>
      </c>
      <c r="K19" s="45">
        <v>12</v>
      </c>
      <c r="L19" s="45">
        <v>3.5</v>
      </c>
      <c r="M19" s="46">
        <v>9.5</v>
      </c>
      <c r="N19" s="47">
        <f>IF(K19=0, 0, L19/K19)</f>
        <v>0.29166666666666669</v>
      </c>
      <c r="O19" s="45">
        <v>30</v>
      </c>
      <c r="P19" s="48">
        <v>130</v>
      </c>
      <c r="Q19" t="s">
        <v>61</v>
      </c>
      <c r="R19" s="2" t="s">
        <v>78</v>
      </c>
      <c r="S19" s="49" t="s">
        <v>133</v>
      </c>
    </row>
    <row r="20" spans="1:19" x14ac:dyDescent="0.3">
      <c r="A20" s="45" t="s">
        <v>126</v>
      </c>
      <c r="B20" s="33" t="s">
        <v>127</v>
      </c>
      <c r="C20" s="45" t="s">
        <v>128</v>
      </c>
      <c r="D20" s="45" t="s">
        <v>129</v>
      </c>
      <c r="E20" s="50"/>
      <c r="F20" s="50" t="s">
        <v>134</v>
      </c>
      <c r="G20" s="45" t="s">
        <v>81</v>
      </c>
      <c r="H20" s="45" t="s">
        <v>135</v>
      </c>
      <c r="I20" s="45" t="s">
        <v>136</v>
      </c>
      <c r="J20" s="45" t="s">
        <v>137</v>
      </c>
      <c r="K20" s="4">
        <v>20</v>
      </c>
      <c r="L20" s="4">
        <v>4</v>
      </c>
      <c r="M20" s="46">
        <v>16</v>
      </c>
      <c r="N20" s="47">
        <f>IF(K20=0, 0, L20/K20)</f>
        <v>0.2</v>
      </c>
      <c r="O20" s="4">
        <v>10</v>
      </c>
      <c r="P20" s="48">
        <v>40</v>
      </c>
      <c r="Q20" s="2" t="s">
        <v>61</v>
      </c>
      <c r="R20" s="2" t="s">
        <v>62</v>
      </c>
      <c r="S20" s="49" t="s">
        <v>138</v>
      </c>
    </row>
    <row r="21" spans="1:19" x14ac:dyDescent="0.3">
      <c r="A21" s="45" t="s">
        <v>126</v>
      </c>
      <c r="B21" s="33" t="s">
        <v>127</v>
      </c>
      <c r="C21" s="45" t="s">
        <v>128</v>
      </c>
      <c r="D21" s="45" t="s">
        <v>129</v>
      </c>
      <c r="E21" s="45"/>
      <c r="F21" s="45" t="s">
        <v>139</v>
      </c>
      <c r="G21" s="45" t="s">
        <v>57</v>
      </c>
      <c r="H21" s="45" t="s">
        <v>140</v>
      </c>
      <c r="I21" s="45" t="s">
        <v>76</v>
      </c>
      <c r="J21" s="45" t="s">
        <v>141</v>
      </c>
      <c r="K21" s="45">
        <v>35</v>
      </c>
      <c r="L21" s="45">
        <v>35</v>
      </c>
      <c r="M21" s="46">
        <v>0</v>
      </c>
      <c r="N21" s="47">
        <f>IF(K21=0, 0, L21/K21)</f>
        <v>1</v>
      </c>
      <c r="O21" s="45">
        <v>50</v>
      </c>
      <c r="P21" s="48">
        <v>1750</v>
      </c>
      <c r="Q21" s="2" t="s">
        <v>61</v>
      </c>
      <c r="R21" s="2" t="s">
        <v>62</v>
      </c>
      <c r="S21" s="49" t="s">
        <v>142</v>
      </c>
    </row>
    <row r="22" spans="1:19" x14ac:dyDescent="0.3">
      <c r="A22" s="45" t="s">
        <v>126</v>
      </c>
      <c r="B22" s="33" t="s">
        <v>127</v>
      </c>
      <c r="C22" s="45" t="s">
        <v>128</v>
      </c>
      <c r="D22" s="45" t="s">
        <v>129</v>
      </c>
      <c r="E22" s="4"/>
      <c r="F22" s="4" t="s">
        <v>143</v>
      </c>
      <c r="G22" s="4" t="s">
        <v>81</v>
      </c>
      <c r="H22" s="45" t="s">
        <v>140</v>
      </c>
      <c r="I22" s="4" t="s">
        <v>76</v>
      </c>
      <c r="J22" s="4" t="s">
        <v>144</v>
      </c>
      <c r="K22" s="4">
        <v>25</v>
      </c>
      <c r="L22" s="4">
        <v>24</v>
      </c>
      <c r="M22" s="46">
        <v>1</v>
      </c>
      <c r="N22" s="47">
        <f>IF(K22=0, 0, L22/K22)</f>
        <v>0.96</v>
      </c>
      <c r="O22" s="4">
        <v>20</v>
      </c>
      <c r="P22" s="48">
        <v>480</v>
      </c>
      <c r="Q22" s="2" t="s">
        <v>61</v>
      </c>
      <c r="R22" s="3" t="s">
        <v>62</v>
      </c>
      <c r="S22" s="51" t="s">
        <v>142</v>
      </c>
    </row>
    <row r="23" spans="1:19" x14ac:dyDescent="0.3">
      <c r="A23" s="45" t="s">
        <v>126</v>
      </c>
      <c r="B23" s="33" t="s">
        <v>127</v>
      </c>
      <c r="C23" s="45" t="s">
        <v>128</v>
      </c>
      <c r="D23" s="45" t="s">
        <v>129</v>
      </c>
      <c r="E23" s="45"/>
      <c r="F23" s="45" t="s">
        <v>145</v>
      </c>
      <c r="G23" s="45" t="s">
        <v>57</v>
      </c>
      <c r="H23" s="45" t="s">
        <v>131</v>
      </c>
      <c r="I23" s="45" t="s">
        <v>146</v>
      </c>
      <c r="J23" s="45" t="s">
        <v>147</v>
      </c>
      <c r="K23" s="45">
        <v>5</v>
      </c>
      <c r="L23" s="45">
        <v>5</v>
      </c>
      <c r="M23" s="46">
        <v>0</v>
      </c>
      <c r="N23" s="47">
        <f>IF(K23=0, 0, L23/K23)</f>
        <v>1</v>
      </c>
      <c r="O23" s="45">
        <v>20</v>
      </c>
      <c r="P23" s="48">
        <v>200</v>
      </c>
      <c r="Q23" s="2" t="s">
        <v>61</v>
      </c>
      <c r="R23" s="3" t="s">
        <v>62</v>
      </c>
      <c r="S23" s="51" t="s">
        <v>148</v>
      </c>
    </row>
    <row r="24" spans="1:19" x14ac:dyDescent="0.3">
      <c r="A24" s="45" t="s">
        <v>126</v>
      </c>
      <c r="B24" s="33" t="s">
        <v>127</v>
      </c>
      <c r="C24" s="45" t="s">
        <v>128</v>
      </c>
      <c r="D24" s="45" t="s">
        <v>129</v>
      </c>
      <c r="E24" s="4"/>
      <c r="F24" s="4" t="s">
        <v>149</v>
      </c>
      <c r="G24" s="4" t="s">
        <v>81</v>
      </c>
      <c r="H24" s="45" t="s">
        <v>150</v>
      </c>
      <c r="I24" s="4" t="s">
        <v>76</v>
      </c>
      <c r="J24" s="4" t="s">
        <v>102</v>
      </c>
      <c r="K24" s="4">
        <v>8</v>
      </c>
      <c r="L24" s="4">
        <v>8</v>
      </c>
      <c r="M24" s="46">
        <v>0</v>
      </c>
      <c r="N24" s="47">
        <f>IF(K24=0, 0, L24/K24)</f>
        <v>1</v>
      </c>
      <c r="O24" s="4">
        <v>50</v>
      </c>
      <c r="P24" s="48">
        <v>475</v>
      </c>
      <c r="Q24" s="2" t="s">
        <v>61</v>
      </c>
      <c r="R24" s="3" t="s">
        <v>62</v>
      </c>
      <c r="S24" s="49" t="s">
        <v>142</v>
      </c>
    </row>
    <row r="25" spans="1:19" x14ac:dyDescent="0.3">
      <c r="A25" s="45" t="s">
        <v>126</v>
      </c>
      <c r="B25" s="33" t="s">
        <v>127</v>
      </c>
      <c r="C25" s="45" t="s">
        <v>128</v>
      </c>
      <c r="D25" s="45" t="s">
        <v>129</v>
      </c>
      <c r="E25" s="45"/>
      <c r="F25" s="45" t="s">
        <v>151</v>
      </c>
      <c r="G25" s="45" t="s">
        <v>81</v>
      </c>
      <c r="H25" s="45" t="s">
        <v>152</v>
      </c>
      <c r="I25" s="45" t="s">
        <v>76</v>
      </c>
      <c r="J25" s="45" t="s">
        <v>153</v>
      </c>
      <c r="K25" s="45">
        <v>20</v>
      </c>
      <c r="L25" s="45">
        <v>18</v>
      </c>
      <c r="M25" s="46">
        <v>2</v>
      </c>
      <c r="N25" s="47">
        <f>IF(K25=0, 0, L25/K25)</f>
        <v>0.9</v>
      </c>
      <c r="O25" s="45">
        <v>40</v>
      </c>
      <c r="P25" s="48">
        <v>600</v>
      </c>
      <c r="Q25" s="2" t="s">
        <v>61</v>
      </c>
      <c r="R25" s="3" t="s">
        <v>62</v>
      </c>
      <c r="S25" s="49" t="s">
        <v>142</v>
      </c>
    </row>
    <row r="26" spans="1:19" x14ac:dyDescent="0.3">
      <c r="A26" s="45" t="s">
        <v>126</v>
      </c>
      <c r="B26" s="33" t="s">
        <v>127</v>
      </c>
      <c r="C26" s="45" t="s">
        <v>128</v>
      </c>
      <c r="D26" s="4" t="s">
        <v>154</v>
      </c>
      <c r="E26" s="4"/>
      <c r="F26" s="4" t="s">
        <v>155</v>
      </c>
      <c r="G26" s="4" t="s">
        <v>57</v>
      </c>
      <c r="H26" s="4" t="s">
        <v>156</v>
      </c>
      <c r="I26" s="4" t="s">
        <v>76</v>
      </c>
      <c r="J26" s="4" t="s">
        <v>157</v>
      </c>
      <c r="K26" s="4">
        <v>300</v>
      </c>
      <c r="L26" s="4">
        <v>300</v>
      </c>
      <c r="M26" s="46">
        <v>0</v>
      </c>
      <c r="N26" s="47">
        <f>IF(K26=0, 0, L26/K26)</f>
        <v>1</v>
      </c>
      <c r="O26" s="4">
        <v>75</v>
      </c>
      <c r="P26" s="48">
        <v>21000</v>
      </c>
      <c r="Q26" s="2" t="s">
        <v>61</v>
      </c>
      <c r="R26" s="3" t="s">
        <v>62</v>
      </c>
      <c r="S26" s="51" t="s">
        <v>142</v>
      </c>
    </row>
    <row r="27" spans="1:19" x14ac:dyDescent="0.3">
      <c r="A27" s="45" t="s">
        <v>126</v>
      </c>
      <c r="B27" s="33" t="s">
        <v>127</v>
      </c>
      <c r="C27" s="45" t="s">
        <v>128</v>
      </c>
      <c r="D27" s="4" t="s">
        <v>154</v>
      </c>
      <c r="E27" s="45"/>
      <c r="F27" s="45" t="s">
        <v>158</v>
      </c>
      <c r="G27" s="45" t="s">
        <v>57</v>
      </c>
      <c r="H27" s="45" t="s">
        <v>159</v>
      </c>
      <c r="I27" s="45" t="s">
        <v>76</v>
      </c>
      <c r="J27" s="45" t="s">
        <v>160</v>
      </c>
      <c r="K27" s="45">
        <v>50</v>
      </c>
      <c r="L27" s="45">
        <v>50</v>
      </c>
      <c r="M27" s="46">
        <v>0</v>
      </c>
      <c r="N27" s="47">
        <f>IF(K27=0, 0, L27/K27)</f>
        <v>1</v>
      </c>
      <c r="O27" s="45">
        <v>15</v>
      </c>
      <c r="P27" s="48">
        <v>1350</v>
      </c>
      <c r="Q27" s="2" t="s">
        <v>61</v>
      </c>
      <c r="R27" s="3" t="s">
        <v>62</v>
      </c>
      <c r="S27" s="49" t="s">
        <v>142</v>
      </c>
    </row>
    <row r="28" spans="1:19" x14ac:dyDescent="0.3">
      <c r="A28" s="45" t="s">
        <v>126</v>
      </c>
      <c r="B28" s="33" t="s">
        <v>127</v>
      </c>
      <c r="C28" s="45" t="s">
        <v>128</v>
      </c>
      <c r="D28" s="4" t="s">
        <v>154</v>
      </c>
      <c r="E28" s="4"/>
      <c r="F28" s="4" t="s">
        <v>161</v>
      </c>
      <c r="G28" s="4" t="s">
        <v>81</v>
      </c>
      <c r="H28" s="4" t="s">
        <v>162</v>
      </c>
      <c r="I28" s="4" t="s">
        <v>136</v>
      </c>
      <c r="J28" s="4" t="s">
        <v>163</v>
      </c>
      <c r="K28" s="4">
        <v>10</v>
      </c>
      <c r="L28" s="4">
        <v>6</v>
      </c>
      <c r="M28" s="46">
        <v>4</v>
      </c>
      <c r="N28" s="47">
        <f>IF(K28=0, 0, L28/K28)</f>
        <v>0.6</v>
      </c>
      <c r="O28" s="4">
        <v>50</v>
      </c>
      <c r="P28" s="48">
        <v>450</v>
      </c>
      <c r="Q28" s="2" t="s">
        <v>61</v>
      </c>
      <c r="R28" s="3" t="s">
        <v>62</v>
      </c>
      <c r="S28" s="51" t="s">
        <v>142</v>
      </c>
    </row>
    <row r="29" spans="1:19" x14ac:dyDescent="0.3">
      <c r="A29" s="45" t="s">
        <v>164</v>
      </c>
      <c r="B29" s="33" t="s">
        <v>127</v>
      </c>
      <c r="C29" s="45" t="s">
        <v>128</v>
      </c>
      <c r="D29" s="4" t="s">
        <v>154</v>
      </c>
      <c r="E29" s="45"/>
      <c r="F29" s="45" t="s">
        <v>165</v>
      </c>
      <c r="G29" s="45" t="s">
        <v>57</v>
      </c>
      <c r="H29" s="45" t="s">
        <v>166</v>
      </c>
      <c r="I29" s="45" t="s">
        <v>76</v>
      </c>
      <c r="J29" s="45" t="s">
        <v>160</v>
      </c>
      <c r="K29" s="45">
        <v>100</v>
      </c>
      <c r="L29" s="45">
        <v>100</v>
      </c>
      <c r="M29" s="46">
        <v>0</v>
      </c>
      <c r="N29" s="47">
        <f>IF(K29=0, 0, L29/K29)</f>
        <v>1</v>
      </c>
      <c r="O29" s="45">
        <v>15</v>
      </c>
      <c r="P29" s="48">
        <v>1500</v>
      </c>
      <c r="Q29" s="2" t="s">
        <v>61</v>
      </c>
      <c r="R29" s="3" t="s">
        <v>62</v>
      </c>
      <c r="S29" s="49" t="s">
        <v>142</v>
      </c>
    </row>
    <row r="30" spans="1:19" x14ac:dyDescent="0.3">
      <c r="A30" s="45" t="s">
        <v>126</v>
      </c>
      <c r="B30" s="33" t="s">
        <v>127</v>
      </c>
      <c r="C30" s="45" t="s">
        <v>128</v>
      </c>
      <c r="D30" s="4" t="s">
        <v>154</v>
      </c>
      <c r="E30" s="4"/>
      <c r="F30" s="4" t="s">
        <v>167</v>
      </c>
      <c r="G30" s="4" t="s">
        <v>57</v>
      </c>
      <c r="H30" s="4" t="s">
        <v>168</v>
      </c>
      <c r="I30" s="4" t="s">
        <v>76</v>
      </c>
      <c r="J30" s="4" t="s">
        <v>153</v>
      </c>
      <c r="K30" s="4">
        <v>50</v>
      </c>
      <c r="L30" s="4">
        <v>50</v>
      </c>
      <c r="M30" s="46">
        <v>0</v>
      </c>
      <c r="N30" s="47">
        <f>IF(K30=0, 0, L30/K30)</f>
        <v>1</v>
      </c>
      <c r="O30" s="4">
        <v>30</v>
      </c>
      <c r="P30" s="48">
        <v>1500</v>
      </c>
      <c r="Q30" s="2" t="s">
        <v>61</v>
      </c>
      <c r="R30" s="3" t="s">
        <v>62</v>
      </c>
      <c r="S30" s="51" t="s">
        <v>142</v>
      </c>
    </row>
    <row r="31" spans="1:19" x14ac:dyDescent="0.3">
      <c r="A31" s="45" t="s">
        <v>126</v>
      </c>
      <c r="B31" s="33" t="s">
        <v>127</v>
      </c>
      <c r="C31" s="45" t="s">
        <v>128</v>
      </c>
      <c r="D31" s="4" t="s">
        <v>154</v>
      </c>
      <c r="E31" s="45"/>
      <c r="F31" s="45" t="s">
        <v>169</v>
      </c>
      <c r="G31" s="45" t="s">
        <v>57</v>
      </c>
      <c r="H31" s="45" t="s">
        <v>159</v>
      </c>
      <c r="I31" s="45" t="s">
        <v>76</v>
      </c>
      <c r="J31" s="45" t="s">
        <v>160</v>
      </c>
      <c r="K31" s="45">
        <v>50</v>
      </c>
      <c r="L31" s="45">
        <v>50</v>
      </c>
      <c r="M31" s="46">
        <v>0</v>
      </c>
      <c r="N31" s="47">
        <f>IF(K31=0, 0, L31/K31)</f>
        <v>1</v>
      </c>
      <c r="O31" s="45">
        <v>15</v>
      </c>
      <c r="P31" s="48">
        <v>1350</v>
      </c>
      <c r="Q31" s="2" t="s">
        <v>61</v>
      </c>
      <c r="R31" s="3" t="s">
        <v>62</v>
      </c>
      <c r="S31" s="49" t="s">
        <v>142</v>
      </c>
    </row>
    <row r="32" spans="1:19" x14ac:dyDescent="0.3">
      <c r="A32" s="4" t="s">
        <v>126</v>
      </c>
      <c r="B32" s="33" t="s">
        <v>127</v>
      </c>
      <c r="C32" s="45" t="s">
        <v>128</v>
      </c>
      <c r="D32" s="4" t="s">
        <v>154</v>
      </c>
      <c r="E32" s="4"/>
      <c r="F32" s="4" t="s">
        <v>170</v>
      </c>
      <c r="G32" s="4" t="s">
        <v>57</v>
      </c>
      <c r="H32" s="4" t="s">
        <v>166</v>
      </c>
      <c r="I32" s="4" t="s">
        <v>76</v>
      </c>
      <c r="J32" s="4" t="s">
        <v>160</v>
      </c>
      <c r="K32" s="4">
        <v>150</v>
      </c>
      <c r="L32" s="4">
        <v>150</v>
      </c>
      <c r="M32" s="46">
        <v>0</v>
      </c>
      <c r="N32" s="47">
        <f>IF(K32=0, 0, L32/K32)</f>
        <v>1</v>
      </c>
      <c r="O32" s="4">
        <v>15</v>
      </c>
      <c r="P32" s="48">
        <v>2250</v>
      </c>
      <c r="Q32" s="2" t="s">
        <v>61</v>
      </c>
      <c r="R32" s="3" t="s">
        <v>62</v>
      </c>
      <c r="S32" s="51" t="s">
        <v>142</v>
      </c>
    </row>
    <row r="33" spans="1:19" x14ac:dyDescent="0.3">
      <c r="A33" s="45" t="s">
        <v>126</v>
      </c>
      <c r="B33" s="33" t="s">
        <v>127</v>
      </c>
      <c r="C33" s="45" t="s">
        <v>128</v>
      </c>
      <c r="D33" s="4" t="s">
        <v>154</v>
      </c>
      <c r="E33" s="45"/>
      <c r="F33" s="45" t="s">
        <v>171</v>
      </c>
      <c r="G33" s="45" t="s">
        <v>81</v>
      </c>
      <c r="H33" s="52"/>
      <c r="I33" s="45" t="s">
        <v>76</v>
      </c>
      <c r="J33" s="45" t="s">
        <v>108</v>
      </c>
      <c r="K33" s="45">
        <v>1</v>
      </c>
      <c r="L33" s="45">
        <v>0</v>
      </c>
      <c r="M33" s="46">
        <v>1</v>
      </c>
      <c r="N33" s="47">
        <f>IF(K33=0, 0, L33/K33)</f>
        <v>0</v>
      </c>
      <c r="O33" s="45">
        <v>5</v>
      </c>
      <c r="P33" s="48">
        <v>0</v>
      </c>
      <c r="Q33" s="2" t="s">
        <v>61</v>
      </c>
      <c r="R33" s="3" t="s">
        <v>78</v>
      </c>
      <c r="S33" s="49" t="s">
        <v>133</v>
      </c>
    </row>
    <row r="34" spans="1:19" x14ac:dyDescent="0.3">
      <c r="A34" s="4" t="s">
        <v>126</v>
      </c>
      <c r="B34" s="33" t="s">
        <v>127</v>
      </c>
      <c r="C34" s="45" t="s">
        <v>128</v>
      </c>
      <c r="D34" s="4" t="s">
        <v>172</v>
      </c>
      <c r="E34" s="4"/>
      <c r="F34" s="4" t="s">
        <v>173</v>
      </c>
      <c r="G34" s="4" t="s">
        <v>81</v>
      </c>
      <c r="H34" s="4" t="s">
        <v>150</v>
      </c>
      <c r="I34" s="53" t="s">
        <v>76</v>
      </c>
      <c r="J34" s="53" t="s">
        <v>102</v>
      </c>
      <c r="K34" s="53">
        <v>10</v>
      </c>
      <c r="L34" s="53">
        <v>10</v>
      </c>
      <c r="M34" s="54">
        <v>0</v>
      </c>
      <c r="N34" s="55">
        <f>IF(K34=0, 0, L34/K34)</f>
        <v>1</v>
      </c>
      <c r="O34" s="4">
        <v>50</v>
      </c>
      <c r="P34" s="48">
        <v>500</v>
      </c>
      <c r="Q34" s="2" t="s">
        <v>61</v>
      </c>
      <c r="R34" s="3" t="s">
        <v>62</v>
      </c>
      <c r="S34" s="51" t="s">
        <v>142</v>
      </c>
    </row>
    <row r="35" spans="1:19" x14ac:dyDescent="0.3">
      <c r="A35" s="45" t="s">
        <v>126</v>
      </c>
      <c r="B35" s="33" t="s">
        <v>127</v>
      </c>
      <c r="C35" s="45" t="s">
        <v>128</v>
      </c>
      <c r="D35" s="4" t="s">
        <v>154</v>
      </c>
      <c r="E35" s="45"/>
      <c r="F35" s="45" t="s">
        <v>174</v>
      </c>
      <c r="G35" s="45" t="s">
        <v>57</v>
      </c>
      <c r="H35" s="45" t="s">
        <v>175</v>
      </c>
      <c r="I35" s="45" t="s">
        <v>76</v>
      </c>
      <c r="J35" s="45" t="s">
        <v>176</v>
      </c>
      <c r="K35" s="45">
        <v>10</v>
      </c>
      <c r="L35" s="45">
        <v>0</v>
      </c>
      <c r="M35" s="46">
        <v>10</v>
      </c>
      <c r="N35" s="47">
        <f>IF(K35=0, 0, L35/K35)</f>
        <v>0</v>
      </c>
      <c r="O35" s="45">
        <v>35</v>
      </c>
      <c r="P35" s="48">
        <v>0</v>
      </c>
      <c r="Q35" s="2" t="s">
        <v>61</v>
      </c>
      <c r="R35" s="3" t="s">
        <v>78</v>
      </c>
      <c r="S35" s="49" t="s">
        <v>133</v>
      </c>
    </row>
    <row r="36" spans="1:19" x14ac:dyDescent="0.3">
      <c r="A36" s="4" t="s">
        <v>126</v>
      </c>
      <c r="B36" s="33" t="s">
        <v>127</v>
      </c>
      <c r="C36" s="45" t="s">
        <v>128</v>
      </c>
      <c r="D36" s="4" t="s">
        <v>154</v>
      </c>
      <c r="E36" s="4"/>
      <c r="F36" s="4" t="s">
        <v>177</v>
      </c>
      <c r="G36" s="4" t="s">
        <v>81</v>
      </c>
      <c r="H36" s="4" t="s">
        <v>175</v>
      </c>
      <c r="I36" s="4" t="s">
        <v>76</v>
      </c>
      <c r="J36" s="4" t="s">
        <v>160</v>
      </c>
      <c r="K36" s="4">
        <v>10</v>
      </c>
      <c r="L36" s="4">
        <v>0</v>
      </c>
      <c r="M36" s="46">
        <v>0</v>
      </c>
      <c r="N36" s="47">
        <f>IF(K36=0, 0, L36/K36)</f>
        <v>0</v>
      </c>
      <c r="O36" s="4">
        <v>20</v>
      </c>
      <c r="P36" s="48">
        <f t="shared" ref="P36:P41" si="2">IFERROR(L36*O36,"")</f>
        <v>0</v>
      </c>
      <c r="Q36" s="2" t="s">
        <v>61</v>
      </c>
      <c r="R36" s="3" t="s">
        <v>62</v>
      </c>
      <c r="S36" s="51" t="s">
        <v>133</v>
      </c>
    </row>
    <row r="37" spans="1:19" x14ac:dyDescent="0.3">
      <c r="A37" s="45" t="s">
        <v>126</v>
      </c>
      <c r="B37" s="33" t="s">
        <v>127</v>
      </c>
      <c r="C37" s="45" t="s">
        <v>128</v>
      </c>
      <c r="D37" s="4" t="s">
        <v>154</v>
      </c>
      <c r="E37" s="45"/>
      <c r="F37" s="45" t="s">
        <v>178</v>
      </c>
      <c r="G37" s="45" t="s">
        <v>57</v>
      </c>
      <c r="H37" s="45" t="s">
        <v>179</v>
      </c>
      <c r="I37" s="45" t="s">
        <v>76</v>
      </c>
      <c r="J37" s="45" t="s">
        <v>144</v>
      </c>
      <c r="K37" s="45">
        <v>60</v>
      </c>
      <c r="L37" s="45">
        <v>4</v>
      </c>
      <c r="M37" s="46">
        <v>56</v>
      </c>
      <c r="N37" s="47">
        <f>IF(K37=0, 0, L37/K37)</f>
        <v>6.6666666666666666E-2</v>
      </c>
      <c r="O37" s="45">
        <v>20</v>
      </c>
      <c r="P37" s="48">
        <v>80</v>
      </c>
      <c r="Q37" s="2" t="s">
        <v>61</v>
      </c>
      <c r="R37" s="3" t="s">
        <v>62</v>
      </c>
      <c r="S37" s="49" t="s">
        <v>142</v>
      </c>
    </row>
    <row r="38" spans="1:19" x14ac:dyDescent="0.3">
      <c r="A38" s="4" t="s">
        <v>126</v>
      </c>
      <c r="B38" s="33" t="s">
        <v>127</v>
      </c>
      <c r="C38" s="45" t="s">
        <v>128</v>
      </c>
      <c r="D38" s="4" t="s">
        <v>154</v>
      </c>
      <c r="E38" s="4"/>
      <c r="F38" s="4" t="s">
        <v>180</v>
      </c>
      <c r="G38" s="45" t="s">
        <v>57</v>
      </c>
      <c r="H38" s="4" t="s">
        <v>156</v>
      </c>
      <c r="I38" s="4" t="s">
        <v>76</v>
      </c>
      <c r="J38" s="4" t="s">
        <v>157</v>
      </c>
      <c r="K38" s="4">
        <v>150</v>
      </c>
      <c r="L38" s="4">
        <v>150</v>
      </c>
      <c r="M38" s="46">
        <v>0</v>
      </c>
      <c r="N38" s="47">
        <f>IF(K38=0, 0, L38/K38)</f>
        <v>1</v>
      </c>
      <c r="O38" s="4">
        <v>70</v>
      </c>
      <c r="P38" s="48">
        <v>10500</v>
      </c>
      <c r="Q38" s="2" t="s">
        <v>61</v>
      </c>
      <c r="R38" s="3" t="s">
        <v>62</v>
      </c>
      <c r="S38" s="51" t="s">
        <v>142</v>
      </c>
    </row>
    <row r="39" spans="1:19" x14ac:dyDescent="0.3">
      <c r="A39" s="45" t="s">
        <v>126</v>
      </c>
      <c r="B39" s="33" t="s">
        <v>127</v>
      </c>
      <c r="C39" s="45" t="s">
        <v>128</v>
      </c>
      <c r="D39" s="4" t="s">
        <v>154</v>
      </c>
      <c r="E39" s="45"/>
      <c r="F39" s="45" t="s">
        <v>181</v>
      </c>
      <c r="G39" s="45" t="s">
        <v>57</v>
      </c>
      <c r="H39" s="45" t="s">
        <v>156</v>
      </c>
      <c r="I39" s="45" t="s">
        <v>76</v>
      </c>
      <c r="J39" s="45" t="s">
        <v>160</v>
      </c>
      <c r="K39" s="45">
        <v>112</v>
      </c>
      <c r="L39" s="45">
        <v>112</v>
      </c>
      <c r="M39" s="46">
        <v>0</v>
      </c>
      <c r="N39" s="47">
        <f>IF(K39=0, 0, L39/K39)</f>
        <v>1</v>
      </c>
      <c r="O39" s="45">
        <v>15</v>
      </c>
      <c r="P39" s="48">
        <v>1680</v>
      </c>
      <c r="Q39" s="2" t="s">
        <v>61</v>
      </c>
      <c r="R39" s="3" t="s">
        <v>62</v>
      </c>
      <c r="S39" s="49" t="s">
        <v>142</v>
      </c>
    </row>
    <row r="40" spans="1:19" x14ac:dyDescent="0.3">
      <c r="A40" s="4" t="s">
        <v>126</v>
      </c>
      <c r="B40" s="33" t="s">
        <v>127</v>
      </c>
      <c r="C40" s="45" t="s">
        <v>128</v>
      </c>
      <c r="D40" s="4" t="s">
        <v>154</v>
      </c>
      <c r="E40" s="4"/>
      <c r="F40" s="4" t="s">
        <v>182</v>
      </c>
      <c r="G40" s="4" t="s">
        <v>57</v>
      </c>
      <c r="H40" s="4" t="s">
        <v>183</v>
      </c>
      <c r="I40" s="4" t="s">
        <v>76</v>
      </c>
      <c r="J40" s="4" t="s">
        <v>72</v>
      </c>
      <c r="K40" s="4">
        <v>50</v>
      </c>
      <c r="L40" s="4">
        <v>48</v>
      </c>
      <c r="M40" s="46">
        <f t="shared" ref="M40:M41" si="3">IFERROR(K40-L40,"")</f>
        <v>2</v>
      </c>
      <c r="N40" s="47">
        <f>IF(K40=0, 0, L40/K40)</f>
        <v>0.96</v>
      </c>
      <c r="O40" s="4">
        <v>150</v>
      </c>
      <c r="P40" s="48">
        <v>7200</v>
      </c>
      <c r="Q40" s="2" t="s">
        <v>61</v>
      </c>
      <c r="R40" s="3" t="s">
        <v>62</v>
      </c>
      <c r="S40" s="51" t="s">
        <v>142</v>
      </c>
    </row>
    <row r="41" spans="1:19" x14ac:dyDescent="0.3">
      <c r="A41" s="4" t="s">
        <v>126</v>
      </c>
      <c r="B41" s="33" t="s">
        <v>127</v>
      </c>
      <c r="C41" s="45" t="s">
        <v>128</v>
      </c>
      <c r="D41" s="4" t="s">
        <v>154</v>
      </c>
      <c r="E41" s="45"/>
      <c r="F41" s="45" t="s">
        <v>184</v>
      </c>
      <c r="G41" s="45" t="s">
        <v>57</v>
      </c>
      <c r="H41" s="45" t="s">
        <v>183</v>
      </c>
      <c r="I41" s="45" t="s">
        <v>76</v>
      </c>
      <c r="J41" s="45" t="s">
        <v>72</v>
      </c>
      <c r="K41" s="45">
        <v>30</v>
      </c>
      <c r="L41" s="45">
        <v>30</v>
      </c>
      <c r="M41" s="46">
        <v>0</v>
      </c>
      <c r="N41" s="47">
        <f>IF(K41=0, 0, L41/K41)</f>
        <v>1</v>
      </c>
      <c r="O41" s="45">
        <v>150</v>
      </c>
      <c r="P41" s="48">
        <v>4500</v>
      </c>
      <c r="Q41" s="2" t="s">
        <v>61</v>
      </c>
      <c r="R41" s="3" t="s">
        <v>62</v>
      </c>
      <c r="S41" s="49" t="s">
        <v>142</v>
      </c>
    </row>
  </sheetData>
  <dataValidations count="5">
    <dataValidation type="list" allowBlank="1" sqref="G2:G41" xr:uid="{00000000-0002-0000-0000-000000000000}">
      <formula1>"Feminino,Masculino"</formula1>
      <formula2>0</formula2>
    </dataValidation>
    <dataValidation type="list" allowBlank="1" sqref="Q2:Q18 Q20:Q41 R19:R21" xr:uid="{00000000-0002-0000-0000-000001000000}">
      <formula1>"Sim,Não"</formula1>
      <formula2>0</formula2>
    </dataValidation>
    <dataValidation type="list" allowBlank="1" sqref="R2:R41" xr:uid="{00000000-0002-0000-0000-000002000000}">
      <formula1>"Sim — negócio em funcionamento,Sim — novo produto/serviço,Parcial,Não"</formula1>
      <formula2>0</formula2>
    </dataValidation>
    <dataValidation type="list" allowBlank="1" sqref="I2:I41" xr:uid="{00000000-0002-0000-0000-000004000000}">
      <formula1>"Alim. perecível (revenda),Alim. não perecível (revenda),Alim. confeccionado/preparado,Produção própria / Machamba,Vestuário,Higiene e limpeza,Artesanato,Outro"</formula1>
      <formula2>0</formula2>
    </dataValidation>
    <dataValidation type="list" allowBlank="1" sqref="B2:B41" xr:uid="{A06A0514-3E11-4460-907D-D9E2FE962407}">
      <formula1>"Ribaue, Monapo"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8449"/>
  </sheetPr>
  <dimension ref="A1:G23"/>
  <sheetViews>
    <sheetView showGridLines="0" topLeftCell="A6" zoomScaleNormal="100" workbookViewId="0">
      <selection activeCell="G7" sqref="G7"/>
    </sheetView>
  </sheetViews>
  <sheetFormatPr defaultColWidth="8.5546875" defaultRowHeight="14.4" x14ac:dyDescent="0.3"/>
  <cols>
    <col min="1" max="1" width="40" customWidth="1"/>
    <col min="2" max="2" width="16" customWidth="1"/>
    <col min="3" max="3" width="14" customWidth="1"/>
    <col min="4" max="4" width="44" customWidth="1"/>
    <col min="5" max="5" width="13" customWidth="1"/>
    <col min="6" max="6" width="14" customWidth="1"/>
    <col min="7" max="7" width="32" customWidth="1"/>
  </cols>
  <sheetData>
    <row r="1" spans="1:7" ht="30" customHeight="1" x14ac:dyDescent="0.3">
      <c r="A1" s="41" t="s">
        <v>7</v>
      </c>
      <c r="B1" s="41"/>
      <c r="C1" s="41"/>
      <c r="D1" s="41"/>
      <c r="E1" s="41"/>
      <c r="F1" s="41"/>
      <c r="G1" s="41"/>
    </row>
    <row r="2" spans="1:7" ht="15" customHeight="1" x14ac:dyDescent="0.3">
      <c r="A2" s="42" t="s">
        <v>8</v>
      </c>
      <c r="B2" s="42"/>
      <c r="C2" s="42"/>
      <c r="D2" s="42"/>
      <c r="E2" s="42"/>
      <c r="F2" s="42"/>
      <c r="G2" s="42"/>
    </row>
    <row r="4" spans="1:7" ht="6" customHeight="1" x14ac:dyDescent="0.3"/>
    <row r="5" spans="1:7" ht="18" customHeight="1" x14ac:dyDescent="0.3">
      <c r="A5" s="43" t="s">
        <v>9</v>
      </c>
      <c r="B5" s="43"/>
      <c r="C5" s="43"/>
      <c r="D5" s="43"/>
      <c r="E5" s="43"/>
      <c r="F5" s="43"/>
      <c r="G5" s="43"/>
    </row>
    <row r="6" spans="1:7" ht="43.5" customHeight="1" x14ac:dyDescent="0.3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</row>
    <row r="7" spans="1:7" ht="43.5" customHeight="1" x14ac:dyDescent="0.3">
      <c r="A7" s="6" t="s">
        <v>17</v>
      </c>
      <c r="B7" s="7" t="s">
        <v>18</v>
      </c>
      <c r="C7" s="8" t="s">
        <v>19</v>
      </c>
      <c r="D7" s="7" t="s">
        <v>20</v>
      </c>
      <c r="E7" s="9" t="str">
        <f>IF(COUNTA(Registo_Feiras!E2:E18)&gt;0,"✅ Realizada","⏳ Não registada")</f>
        <v>⏳ Não registada</v>
      </c>
      <c r="F7" s="8" t="s">
        <v>21</v>
      </c>
      <c r="G7" s="10" t="s">
        <v>22</v>
      </c>
    </row>
    <row r="8" spans="1:7" ht="51" customHeight="1" x14ac:dyDescent="0.3">
      <c r="A8" s="11" t="s">
        <v>23</v>
      </c>
      <c r="B8" s="12" t="s">
        <v>24</v>
      </c>
      <c r="C8" s="13" t="s">
        <v>25</v>
      </c>
      <c r="D8" s="12" t="s">
        <v>26</v>
      </c>
      <c r="E8" s="14" t="str">
        <f>IFERROR((COUNTIF(Registo_Feiras!R2:R18,"Sim — negócio em funcionamento")+COUNTIF(Registo_Feiras!R2:R18,"Sim — novo produto/serviço"))/COUNTA(Registo_Feiras!E2:E18),"")</f>
        <v/>
      </c>
      <c r="F8" s="13" t="s">
        <v>27</v>
      </c>
      <c r="G8" s="15" t="s">
        <v>28</v>
      </c>
    </row>
    <row r="9" spans="1:7" ht="43.5" customHeight="1" x14ac:dyDescent="0.3">
      <c r="A9" s="16" t="s">
        <v>29</v>
      </c>
      <c r="B9" s="17" t="s">
        <v>30</v>
      </c>
      <c r="C9" s="18" t="s">
        <v>31</v>
      </c>
      <c r="D9" s="17" t="s">
        <v>32</v>
      </c>
      <c r="E9" s="19" t="str">
        <f>IFERROR(COUNTIF(Registo_Feiras!Q2:Q18,"Sim")/COUNTA(Registo_Feiras!E2:E18),"")</f>
        <v/>
      </c>
      <c r="F9" s="18" t="s">
        <v>33</v>
      </c>
      <c r="G9" s="20" t="s">
        <v>34</v>
      </c>
    </row>
    <row r="11" spans="1:7" ht="18" customHeight="1" x14ac:dyDescent="0.3">
      <c r="A11" s="43" t="s">
        <v>35</v>
      </c>
      <c r="B11" s="43"/>
      <c r="C11" s="43"/>
      <c r="D11" s="43"/>
      <c r="E11" s="43"/>
      <c r="F11" s="43"/>
      <c r="G11" s="43"/>
    </row>
    <row r="12" spans="1:7" ht="43.5" customHeight="1" x14ac:dyDescent="0.3">
      <c r="A12" s="21" t="s">
        <v>36</v>
      </c>
      <c r="B12" s="21" t="s">
        <v>37</v>
      </c>
      <c r="C12" s="21" t="s">
        <v>16</v>
      </c>
    </row>
    <row r="13" spans="1:7" ht="13.5" customHeight="1" x14ac:dyDescent="0.3">
      <c r="A13" s="4" t="s">
        <v>38</v>
      </c>
      <c r="B13" s="22">
        <f>COUNTA(Registo_Feiras!E2:E18)</f>
        <v>0</v>
      </c>
      <c r="C13" s="23"/>
    </row>
    <row r="14" spans="1:7" ht="13.5" customHeight="1" x14ac:dyDescent="0.3">
      <c r="A14" s="4" t="s">
        <v>39</v>
      </c>
      <c r="B14" s="22">
        <f>SUMPRODUCT((Registo_Feiras!E2:E18&lt;&gt;"")/IF(COUNTIF(Registo_Feiras!E2:E18,Registo_Feiras!E2:E18)&gt;0,COUNTIF(Registo_Feiras!E2:E18,Registo_Feiras!E2:E18),1))</f>
        <v>0</v>
      </c>
      <c r="C14" s="23" t="s">
        <v>40</v>
      </c>
    </row>
    <row r="15" spans="1:7" ht="13.5" customHeight="1" x14ac:dyDescent="0.3">
      <c r="A15" s="4" t="s">
        <v>41</v>
      </c>
      <c r="B15" s="22">
        <f>COUNTIF(Registo_Feiras!G2:G18,"Feminino")</f>
        <v>3</v>
      </c>
      <c r="C15" s="23"/>
    </row>
    <row r="16" spans="1:7" ht="13.5" customHeight="1" x14ac:dyDescent="0.3">
      <c r="A16" s="4" t="s">
        <v>42</v>
      </c>
      <c r="B16" s="22">
        <f>COUNTIF(Registo_Feiras!G2:G18,"Masculino")</f>
        <v>14</v>
      </c>
      <c r="C16" s="23"/>
    </row>
    <row r="17" spans="1:7" ht="13.5" customHeight="1" x14ac:dyDescent="0.3">
      <c r="A17" s="24" t="s">
        <v>43</v>
      </c>
      <c r="B17" s="25">
        <f>IFERROR(SUM(Registo_Feiras!P2:P18),0)</f>
        <v>38165</v>
      </c>
      <c r="C17" s="26"/>
    </row>
    <row r="18" spans="1:7" ht="13.5" customHeight="1" x14ac:dyDescent="0.3">
      <c r="A18" s="24" t="s">
        <v>44</v>
      </c>
      <c r="B18" s="27">
        <f>IFERROR(SUM(Registo_Feiras!L2:L18),0)</f>
        <v>1018</v>
      </c>
      <c r="C18" s="26"/>
    </row>
    <row r="19" spans="1:7" ht="13.5" customHeight="1" x14ac:dyDescent="0.3">
      <c r="A19" s="24" t="s">
        <v>45</v>
      </c>
      <c r="B19" s="28">
        <f>IFERROR(AVERAGEIF(Registo_Feiras!N2:N18,"&gt;"&amp;0),"")</f>
        <v>0.93494172494172489</v>
      </c>
      <c r="C19" s="26" t="s">
        <v>46</v>
      </c>
    </row>
    <row r="20" spans="1:7" ht="13.5" customHeight="1" x14ac:dyDescent="0.3">
      <c r="A20" s="2" t="s">
        <v>47</v>
      </c>
      <c r="B20" s="29">
        <f>COUNTIF(Registo_Feiras!Q2:Q18,"Sim")</f>
        <v>15</v>
      </c>
      <c r="C20" s="30" t="s">
        <v>48</v>
      </c>
    </row>
    <row r="21" spans="1:7" ht="13.5" customHeight="1" x14ac:dyDescent="0.3">
      <c r="A21" s="3" t="s">
        <v>49</v>
      </c>
      <c r="B21" s="31">
        <f>COUNTIF(Registo_Feiras!R2:R18,"Sim — negócio em funcionamento")+COUNTIF(Registo_Feiras!R2:R18,"Sim — novo produto/serviço")</f>
        <v>14</v>
      </c>
      <c r="C21" s="32" t="s">
        <v>50</v>
      </c>
    </row>
    <row r="23" spans="1:7" ht="15" customHeight="1" x14ac:dyDescent="0.3">
      <c r="A23" s="44" t="s">
        <v>51</v>
      </c>
      <c r="B23" s="44"/>
      <c r="C23" s="44"/>
      <c r="D23" s="44"/>
      <c r="E23" s="44"/>
      <c r="F23" s="44"/>
      <c r="G23" s="44"/>
    </row>
  </sheetData>
  <mergeCells count="5">
    <mergeCell ref="A1:G1"/>
    <mergeCell ref="A2:G2"/>
    <mergeCell ref="A5:G5"/>
    <mergeCell ref="A11:G11"/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B17744-7E74-4730-AE52-1CC47D198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1E72F2-0F72-4B77-A6B9-7696198D1566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3.xml><?xml version="1.0" encoding="utf-8"?>
<ds:datastoreItem xmlns:ds="http://schemas.openxmlformats.org/officeDocument/2006/customXml" ds:itemID="{B170B44F-C666-4844-B255-47EEE53B68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Registo_Feiras</vt:lpstr>
      <vt:lpstr>Resumo_Feira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Dionisio Mahumane</cp:lastModifiedBy>
  <cp:revision>0</cp:revision>
  <dcterms:created xsi:type="dcterms:W3CDTF">2026-05-18T08:19:52Z</dcterms:created>
  <dcterms:modified xsi:type="dcterms:W3CDTF">2026-07-03T12:09:27Z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